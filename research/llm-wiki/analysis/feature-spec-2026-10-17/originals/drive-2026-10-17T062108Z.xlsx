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righ\Downloads\"/>
    </mc:Choice>
  </mc:AlternateContent>
  <xr:revisionPtr revIDLastSave="0" documentId="13_ncr:1_{9F0C03E4-5EB2-4CE1-B548-C957C38F5553}" xr6:coauthVersionLast="47" xr6:coauthVersionMax="47" xr10:uidLastSave="{00000000-0000-0000-0000-000000000000}"/>
  <bookViews>
    <workbookView xWindow="-108" yWindow="-108" windowWidth="23256" windowHeight="13896" activeTab="2" xr2:uid="{00000000-000D-0000-FFFF-FFFF00000000}"/>
  </bookViews>
  <sheets>
    <sheet name="기능명세서" sheetId="1" r:id="rId1"/>
    <sheet name="개발 WBS" sheetId="2" r:id="rId2"/>
    <sheet name="정책 대응" sheetId="3" r:id="rId3"/>
  </sheets>
  <definedNames>
    <definedName name="_xlnm._FilterDatabase" localSheetId="1" hidden="1">'개발 WBS'!$A$8:$N$62</definedName>
    <definedName name="_xlnm._FilterDatabase" localSheetId="0" hidden="1">기능명세서!$A$7:$H$65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J8" i="3"/>
  <c r="K7" i="3"/>
  <c r="J7" i="3"/>
  <c r="K6" i="3"/>
  <c r="K9" i="3" s="1"/>
  <c r="J6" i="3"/>
  <c r="J9" i="3" s="1"/>
  <c r="M62" i="2"/>
  <c r="L62" i="2"/>
  <c r="L61" i="2"/>
  <c r="M61" i="2" s="1"/>
  <c r="L60" i="2"/>
  <c r="M60" i="2" s="1"/>
  <c r="L59" i="2"/>
  <c r="M59" i="2" s="1"/>
  <c r="M58" i="2"/>
  <c r="L58" i="2"/>
  <c r="L57" i="2"/>
  <c r="M57" i="2" s="1"/>
  <c r="L56" i="2"/>
  <c r="M56" i="2" s="1"/>
  <c r="L55" i="2"/>
  <c r="M55" i="2" s="1"/>
  <c r="M54" i="2"/>
  <c r="L54" i="2"/>
  <c r="M53" i="2"/>
  <c r="L53" i="2"/>
  <c r="L52" i="2"/>
  <c r="M52" i="2" s="1"/>
  <c r="L51" i="2"/>
  <c r="M51" i="2" s="1"/>
  <c r="M50" i="2"/>
  <c r="L50" i="2"/>
  <c r="M49" i="2"/>
  <c r="L49" i="2"/>
  <c r="M48" i="2"/>
  <c r="L48" i="2"/>
  <c r="M47" i="2"/>
  <c r="L47" i="2"/>
  <c r="M46" i="2"/>
  <c r="L46" i="2"/>
  <c r="M45" i="2"/>
  <c r="L45" i="2"/>
  <c r="L44" i="2"/>
  <c r="M44" i="2" s="1"/>
  <c r="M43" i="2"/>
  <c r="L43" i="2"/>
  <c r="M42" i="2"/>
  <c r="L42" i="2"/>
  <c r="L41" i="2"/>
  <c r="M41" i="2" s="1"/>
  <c r="L40" i="2"/>
  <c r="M40" i="2" s="1"/>
  <c r="M39" i="2"/>
  <c r="L39" i="2"/>
  <c r="M38" i="2"/>
  <c r="L38" i="2"/>
  <c r="L37" i="2"/>
  <c r="M37" i="2" s="1"/>
  <c r="M36" i="2"/>
  <c r="L36" i="2"/>
  <c r="L35" i="2"/>
  <c r="M35" i="2" s="1"/>
  <c r="M34" i="2"/>
  <c r="L34" i="2"/>
  <c r="M33" i="2"/>
  <c r="L33" i="2"/>
  <c r="M32" i="2"/>
  <c r="L32" i="2"/>
  <c r="L31" i="2"/>
  <c r="M31" i="2" s="1"/>
  <c r="M30" i="2"/>
  <c r="L30" i="2"/>
  <c r="L29" i="2"/>
  <c r="M29" i="2" s="1"/>
  <c r="L28" i="2"/>
  <c r="M28" i="2" s="1"/>
  <c r="M27" i="2"/>
  <c r="L27" i="2"/>
  <c r="M26" i="2"/>
  <c r="L26" i="2"/>
  <c r="M25" i="2"/>
  <c r="L25" i="2"/>
  <c r="M24" i="2"/>
  <c r="L24" i="2"/>
  <c r="L23" i="2"/>
  <c r="M23" i="2" s="1"/>
  <c r="M22" i="2"/>
  <c r="L22" i="2"/>
  <c r="L21" i="2"/>
  <c r="M21" i="2" s="1"/>
  <c r="L20" i="2"/>
  <c r="M20" i="2" s="1"/>
  <c r="M19" i="2"/>
  <c r="L19" i="2"/>
  <c r="M18" i="2"/>
  <c r="L18" i="2"/>
  <c r="L17" i="2"/>
  <c r="M17" i="2" s="1"/>
  <c r="L16" i="2"/>
  <c r="M16" i="2" s="1"/>
  <c r="L15" i="2"/>
  <c r="L4" i="2" s="1"/>
  <c r="M14" i="2"/>
  <c r="L14" i="2"/>
  <c r="L13" i="2"/>
  <c r="M13" i="2" s="1"/>
  <c r="L12" i="2"/>
  <c r="M12" i="2" s="1"/>
  <c r="L11" i="2"/>
  <c r="M11" i="2" s="1"/>
  <c r="M10" i="2"/>
  <c r="L10" i="2"/>
  <c r="L9" i="2"/>
  <c r="M9" i="2" s="1"/>
  <c r="I4" i="2"/>
  <c r="I3" i="2"/>
  <c r="F3" i="2"/>
  <c r="C3" i="2"/>
  <c r="I5" i="1"/>
  <c r="G5" i="1"/>
  <c r="E5" i="1"/>
  <c r="C5" i="1"/>
  <c r="F4" i="2" l="1"/>
  <c r="C4" i="2"/>
  <c r="M15" i="2"/>
  <c r="O3" i="2" s="1"/>
  <c r="L3" i="2" l="1"/>
</calcChain>
</file>

<file path=xl/sharedStrings.xml><?xml version="1.0" encoding="utf-8"?>
<sst xmlns="http://schemas.openxmlformats.org/spreadsheetml/2006/main" count="968" uniqueCount="583">
  <si>
    <t>MCP 보안 거버넌스 솔루션 기능명세서</t>
  </si>
  <si>
    <t>기준: 개발 브랜치 10/15-wbs-implementation(c0fbab3) · 정책 기준: MCP_보안정책50 (본)정책 최종본 · 작성 2026-10-17</t>
  </si>
  <si>
    <t>자동화 범위: 서버와 Tool의 승인 상태, 사용자 권한, 입력값과 데이터 전송 범위, 실제 연결 주소, 응답 크기와 중복 실행, 구성 변경과 이상 징후를 솔루션이 자동으로 검사하고 차단하며, 운영 이미지 취약점 재검사, 탐지 후 연결 중지, 복원 후 폐기 상태 대조와 실행 증적 기록을 자동화함. 에이전트 자체의 신원 증명, 외부 제공자 측 자격·자원 데이터의 확인, 원격 서버 내부의 연결과 실행 결과는 솔루션이 관측할 수 없으므로 자동화 범위에서 제외함.</t>
  </si>
  <si>
    <t>개발 상태</t>
  </si>
  <si>
    <t>개발 완료</t>
  </si>
  <si>
    <t>일부 개발</t>
  </si>
  <si>
    <t>개발 예정</t>
  </si>
  <si>
    <t>자동화 범위 제외</t>
  </si>
  <si>
    <t>번호</t>
  </si>
  <si>
    <t>대분류</t>
  </si>
  <si>
    <t>기능명</t>
  </si>
  <si>
    <t>기능 설명</t>
  </si>
  <si>
    <t>대응 정책</t>
  </si>
  <si>
    <t>구현 수단</t>
  </si>
  <si>
    <t>비고</t>
  </si>
  <si>
    <t>사용자·엔드포인트</t>
  </si>
  <si>
    <t>사용자 등록</t>
  </si>
  <si>
    <t>가입 신청, 역할 분리, 관리자 승인</t>
  </si>
  <si>
    <t>POL-19</t>
  </si>
  <si>
    <t>FastAPI · PostgreSQL</t>
  </si>
  <si>
    <t>관리자 권한 자동 부여 금지</t>
  </si>
  <si>
    <t>조직 로그인</t>
  </si>
  <si>
    <t>조직 계정 로그인과 기존 사용자 연결, 관리 화면 세션 만료</t>
  </si>
  <si>
    <t>POL-19 · POL-21</t>
  </si>
  <si>
    <t>Keycloak · Authlib</t>
  </si>
  <si>
    <t>운영 TLS 적용은 '전송 구간 암호화' 항목에서 진행</t>
  </si>
  <si>
    <t>PC 등록·활성화</t>
  </si>
  <si>
    <t>연결 키트 설치, 장치 키 발급, 관리 계정 활성화</t>
  </si>
  <si>
    <t>POL-12 · POL-19</t>
  </si>
  <si>
    <t>엔드포인트 에이전트 · PostgreSQL</t>
  </si>
  <si>
    <t>Windows 실기기 확인 남음</t>
  </si>
  <si>
    <t>실행·통신 제한</t>
  </si>
  <si>
    <t>관리 계정의 미승인 실행, 게이트웨이 우회 연결, 로컬 서버 직접 실행 제한</t>
  </si>
  <si>
    <t>POL-12 · POL-17</t>
  </si>
  <si>
    <t>AppArmor · nftables · systemd</t>
  </si>
  <si>
    <t>관리형 Linux 계정에 한정, 미인가 로컬 MCP 시험 진행 중</t>
  </si>
  <si>
    <t>상태 관측</t>
  </si>
  <si>
    <t>마지막 보고, 보호 상태, 통제 밖 계정, 발견된 MCP 설정 표시</t>
  </si>
  <si>
    <t>POL-12 · POL-42</t>
  </si>
  <si>
    <t>엔드포인트 에이전트</t>
  </si>
  <si>
    <t>관측과 기기 전체 집행을 구분해 표시</t>
  </si>
  <si>
    <t>MCP 도입·검증</t>
  </si>
  <si>
    <t>도입 신청</t>
  </si>
  <si>
    <t>주소, 버전 또는 커밋, 용도, 사용 범위 접수</t>
  </si>
  <si>
    <t>POL-01 · POL-02</t>
  </si>
  <si>
    <t>격리 검사</t>
  </si>
  <si>
    <t>승인 전 소스 수집과 검사를 게이트웨이와 분리된 워커에서 수행</t>
  </si>
  <si>
    <t>POL-01 · POL-05</t>
  </si>
  <si>
    <t>Docker · Git</t>
  </si>
  <si>
    <t>구성요소 분석</t>
  </si>
  <si>
    <t>SBOM 생성, 의존성·라이선스 식별</t>
  </si>
  <si>
    <t>POL-01 · POL-03</t>
  </si>
  <si>
    <t>Syft</t>
  </si>
  <si>
    <t>위험 검사</t>
  </si>
  <si>
    <t>취약점, 오구성, 코드 규칙, Tool 설명의 악성 지시 검사</t>
  </si>
  <si>
    <t>POL-03 · POL-04</t>
  </si>
  <si>
    <t>Trivy · Semgrep · 자체 규칙</t>
  </si>
  <si>
    <t>검사 누락·실패는 통과로 처리하지 않음</t>
  </si>
  <si>
    <t>Secret 검사</t>
  </si>
  <si>
    <t>소스 속 인증정보 탐지, 결과에서 민감 문자열 제거</t>
  </si>
  <si>
    <t>POL-14</t>
  </si>
  <si>
    <t>Gitleaks</t>
  </si>
  <si>
    <t>승인 소스 격리 실행</t>
  </si>
  <si>
    <t>승인된 커밋만 고정 방식으로 빌드해 전용 망에서 실행, 심사한 목적지만 외부 연결 허용</t>
  </si>
  <si>
    <t>POL-09 · POL-46</t>
  </si>
  <si>
    <t>Docker · 자체 실행기</t>
  </si>
  <si>
    <t>등록 해제·승인 철회 시 정지 시험 남음</t>
  </si>
  <si>
    <t>운영 이미지 재검사</t>
  </si>
  <si>
    <t>실행 중인 서버 이미지를 주기적으로 다시 검사하고 기한 내 미조치 시 격리</t>
  </si>
  <si>
    <t>POL-39</t>
  </si>
  <si>
    <t>Trivy · 자체 실행기</t>
  </si>
  <si>
    <t>승인·카탈로그</t>
  </si>
  <si>
    <t>독립 승인</t>
  </si>
  <si>
    <t>신청자와 승인자 분리, 검토 근거와 승인 기록 보존</t>
  </si>
  <si>
    <t>POL-08 · POL-38</t>
  </si>
  <si>
    <t>PostgreSQL</t>
  </si>
  <si>
    <t>사용 범위</t>
  </si>
  <si>
    <t>사용자, 도구, 자원, 데이터 등급, 기한 지정</t>
  </si>
  <si>
    <t>POL-02 · POL-11 · POL-23</t>
  </si>
  <si>
    <t>OPA · Rego · PostgreSQL</t>
  </si>
  <si>
    <t>계약 잠금</t>
  </si>
  <si>
    <t>도구 이름·설명·입력 스키마·버전 해시를 고정하고 호출 직전 재대조</t>
  </si>
  <si>
    <t>POL-11 · POL-37</t>
  </si>
  <si>
    <t>MCP Python SDK · jsonschema</t>
  </si>
  <si>
    <t>첫 관찰 자동 승인 금지</t>
  </si>
  <si>
    <t>승인 만료·재승인</t>
  </si>
  <si>
    <t>승인 기한 만료, 중지, 구성 변경 시 재승인 요구</t>
  </si>
  <si>
    <t>POL-08 · POL-37 · POL-40</t>
  </si>
  <si>
    <t>PostgreSQL · OPA</t>
  </si>
  <si>
    <t>내부 소스 반입</t>
  </si>
  <si>
    <t>승인 저장소 보관, 검증 커밋 대조</t>
  </si>
  <si>
    <t>POL-01</t>
  </si>
  <si>
    <t>Gitea</t>
  </si>
  <si>
    <t>저장소 반입만으로 승인 완료 아님</t>
  </si>
  <si>
    <t>하네스별 최소 설정 배포</t>
  </si>
  <si>
    <t>승인된 서버만 하네스 설정에 배포, 미승인 커넥터 비활성화</t>
  </si>
  <si>
    <t>POL-11 · POL-12</t>
  </si>
  <si>
    <t>데이터·기능 단위 사용자 동의</t>
  </si>
  <si>
    <t>사용자 동의를 데이터·기능 단위로 기록하고 호출마다 대조, 동의가 없으면 확인 요청</t>
  </si>
  <si>
    <t>POL-08</t>
  </si>
  <si>
    <t>PostgreSQL · OPA · MCP 확인 요청</t>
  </si>
  <si>
    <t>호출·데이터 통제</t>
  </si>
  <si>
    <t>신원·상태 확인</t>
  </si>
  <si>
    <t>인증된 주체, 토큰 발급자·대상·기한·폐기 여부, 등록·중지 상태 확인</t>
  </si>
  <si>
    <t>FastAPI · PostgreSQL · Ed25519</t>
  </si>
  <si>
    <t>도구 인자·클라이언트 보고값은 신원으로 쓰지 않음</t>
  </si>
  <si>
    <t>인자·자원 분석</t>
  </si>
  <si>
    <t>스키마, 경로, URL, SQL, 수신자 분석과 실제 행위(조회·변경·실행) 판정</t>
  </si>
  <si>
    <t>POL-23 · POL-24</t>
  </si>
  <si>
    <t>jsonschema · pglast</t>
  </si>
  <si>
    <t>실행 전 정책</t>
  </si>
  <si>
    <t>권한, 계약, 데이터 등급, 민감정보 반출 조건 판정</t>
  </si>
  <si>
    <t>POL-22 · POL-25 · POL-26</t>
  </si>
  <si>
    <t>OPA · Rego · Presidio · Gitleaks</t>
  </si>
  <si>
    <t>정책·분류·계약 오류는 차단</t>
  </si>
  <si>
    <t>호출·응답 통제</t>
  </si>
  <si>
    <t>허용 호출만 전달, 응답 개인정보 마스킹, Secret·비신뢰 지시 포함 결과 보류</t>
  </si>
  <si>
    <t>POL-29 · POL-30</t>
  </si>
  <si>
    <t>MCP Python SDK · Presidio · Gitleaks</t>
  </si>
  <si>
    <t>고위험 건별 승인</t>
  </si>
  <si>
    <t>요청 내용에 묶인 1회용 승인, 자가 승인 금지, 10분 만료</t>
  </si>
  <si>
    <t>POL-27</t>
  </si>
  <si>
    <t>호출량·동시 실행 제한</t>
  </si>
  <si>
    <t>호출량, 동시 실행, 실행 중 중복 호출을 원자적으로 예약·제한</t>
  </si>
  <si>
    <t>POL-28 · POL-36</t>
  </si>
  <si>
    <t>MCP 접속 출처 검증</t>
  </si>
  <si>
    <t>게이트웨이 MCP 접속의 Host·Origin 허용 목록 검사</t>
  </si>
  <si>
    <t>POL-18</t>
  </si>
  <si>
    <t>MCP Python SDK</t>
  </si>
  <si>
    <t>서버별 인증정보 분리</t>
  </si>
  <si>
    <t>원격 서버 인증정보를 서버·주소·주체별로 결속하고 교차 사용 거부</t>
  </si>
  <si>
    <t>POL-15</t>
  </si>
  <si>
    <t>자체 구현</t>
  </si>
  <si>
    <t>실제 연결 주소 확인</t>
  </si>
  <si>
    <t>연결 직전 DNS 조회 결과로만 접속, OAuth 메타데이터 조회 대상 검사</t>
  </si>
  <si>
    <t>POL-10 · POL-40</t>
  </si>
  <si>
    <t>Python 표준 라이브러리 · httpx</t>
  </si>
  <si>
    <t>전송 구간 암호화</t>
  </si>
  <si>
    <t>하네스와 게이트웨이 사이 TLS 적용, 원격 MCP 평문 연결 차단</t>
  </si>
  <si>
    <t>POL-16</t>
  </si>
  <si>
    <t>Caddy · 내부 CA</t>
  </si>
  <si>
    <t>원격 평문 연결 차단은 개발 완료</t>
  </si>
  <si>
    <t>전송 목적 확인</t>
  </si>
  <si>
    <t>수신처, 데이터 등급, 목적이 승인된 조합과 일치할 때만 외부 전송 허용</t>
  </si>
  <si>
    <t>POL-26</t>
  </si>
  <si>
    <t>OPA · Rego</t>
  </si>
  <si>
    <t>입력 최소화</t>
  </si>
  <si>
    <t>도구별 허용 입력 항목만 전달, 입력 민감정보 마스킹</t>
  </si>
  <si>
    <t>POL-31</t>
  </si>
  <si>
    <t>Presidio · OPA</t>
  </si>
  <si>
    <t>서버 간 전달 경계</t>
  </si>
  <si>
    <t>세션 내 중요정보 표시 전파, 승인되지 않은 서버 간 전달 차단</t>
  </si>
  <si>
    <t>POL-33</t>
  </si>
  <si>
    <t>자체 구현 · OPA</t>
  </si>
  <si>
    <t>조회 범위 제한</t>
  </si>
  <si>
    <t>단일 조회의 반환 건수·크기 상한, 전체 폴더 조회 차단</t>
  </si>
  <si>
    <t>POL-35</t>
  </si>
  <si>
    <t>중복 실행 방지</t>
  </si>
  <si>
    <t>변경 요청에 멱등 키를 부여해 재전송·재시도 중복 차단</t>
  </si>
  <si>
    <t>POL-36</t>
  </si>
  <si>
    <t>원격 서버 내부의 중복 실행은 제외</t>
  </si>
  <si>
    <t>인증정보 노출 차단</t>
  </si>
  <si>
    <t>설정, 실행 인자, 오류 응답의 인증정보 원문 탐지·제거</t>
  </si>
  <si>
    <t>운영·감사</t>
  </si>
  <si>
    <t>운영 현황</t>
  </si>
  <si>
    <t>승인 대기, 최근 차단, 서버·단말 상태, 처리 지연 조회</t>
  </si>
  <si>
    <t>POL-38 · POL-42</t>
  </si>
  <si>
    <t>Apache ECharts</t>
  </si>
  <si>
    <t>관리 화면은 MCP를 직접 호출하지 않음</t>
  </si>
  <si>
    <t>감사 원장</t>
  </si>
  <si>
    <t>판정·시도·실행·응답 상태를 변경 불가 해시 사슬로 저장, 민감 본문 제외</t>
  </si>
  <si>
    <t>POL-38</t>
  </si>
  <si>
    <t>추적·내보내기</t>
  </si>
  <si>
    <t>호출 추적, 필터, 상세, 사슬 검증, 내보내기</t>
  </si>
  <si>
    <t>OpenTelemetry · Jaeger</t>
  </si>
  <si>
    <t>이상 징후 경보</t>
  </si>
  <si>
    <t>새 도구, 미승인 연결, 반복 차단, 중요정보 접근 집중 경보</t>
  </si>
  <si>
    <t>POL-42 · POL-43</t>
  </si>
  <si>
    <t>OPA · PostgreSQL</t>
  </si>
  <si>
    <t>단말 이벤트 상관</t>
  </si>
  <si>
    <t>MCP 요청, 게이트웨이 판정, 단말 이벤트 연결</t>
  </si>
  <si>
    <t>하네스 이벤트 시각 연결 남음</t>
  </si>
  <si>
    <t>경보 자체 시험</t>
  </si>
  <si>
    <t>정책 배포 직후 합성 이벤트로 경보 동작 확인</t>
  </si>
  <si>
    <t>POL-42</t>
  </si>
  <si>
    <t>탐지 시 자동 중지</t>
  </si>
  <si>
    <t>미승인 변경·이상 호출 탐지 시 해당 서버와 도구 자동 중지</t>
  </si>
  <si>
    <t>POL-43</t>
  </si>
  <si>
    <t>종료·권한 회수</t>
  </si>
  <si>
    <t>접근 중지</t>
  </si>
  <si>
    <t>만료·중지·철회된 관계의 후속 호출 즉시 거부</t>
  </si>
  <si>
    <t>POL-44</t>
  </si>
  <si>
    <t>장치·자격 회수</t>
  </si>
  <si>
    <t>사용자·장치 토큰과 갱신 토큰 일괄 폐기, 연결 풀 종료</t>
  </si>
  <si>
    <t>POL-44 · POL-45</t>
  </si>
  <si>
    <t>PostgreSQL · Keycloak</t>
  </si>
  <si>
    <t>세션 종료</t>
  </si>
  <si>
    <t>활성 세션과 MCP 서버 세션 종료, 재접근 차단</t>
  </si>
  <si>
    <t>POL-44 · POL-46</t>
  </si>
  <si>
    <t>상태를 유지하는 서버의 세션 재접근 시험 남음</t>
  </si>
  <si>
    <t>종료 판정</t>
  </si>
  <si>
    <t>회수 대상, 권한, 연속성, 증거를 종합해 종료 완료 판정</t>
  </si>
  <si>
    <t>잔존 자료 확인</t>
  </si>
  <si>
    <t>설정·인증정보 제거 후 잔존 여부와 백업 복구 시험</t>
  </si>
  <si>
    <t>POL-48 · POL-50</t>
  </si>
  <si>
    <t>직원 PC 백업·캐시 복구 시험 남음</t>
  </si>
  <si>
    <t>복원 후 폐기 상태 대조</t>
  </si>
  <si>
    <t>폐기 목록을 서명해 DB 밖에 보관하고 복원 후 대조, 필요 시 서명키 교체</t>
  </si>
  <si>
    <t>POL-50</t>
  </si>
  <si>
    <t>cryptography · PostgreSQL</t>
  </si>
  <si>
    <t>에이전트 신원 증명</t>
  </si>
  <si>
    <t>하네스가 스스로 밝힌 정보를 검증할 수단이 없음</t>
  </si>
  <si>
    <t>—</t>
  </si>
  <si>
    <t>사용자 신원만 토큰으로 확인</t>
  </si>
  <si>
    <t>에이전트 위임 판정</t>
  </si>
  <si>
    <t>검증된 에이전트 주체가 없어 위임 범위를 판정할 수 없음</t>
  </si>
  <si>
    <t>POL-20</t>
  </si>
  <si>
    <t>위임을 주장하는 요청은 거부</t>
  </si>
  <si>
    <t>외부 서비스 자원 등급 판정</t>
  </si>
  <si>
    <t>등급 정보가 제공자에게만 있음</t>
  </si>
  <si>
    <t>POL-25</t>
  </si>
  <si>
    <t>내부 자원만 등급 판정</t>
  </si>
  <si>
    <t>제공자 측 인증정보 무효화 확인</t>
  </si>
  <si>
    <t>제공자 시스템 내부의 처리로 솔루션이 관측할 수 없음</t>
  </si>
  <si>
    <t>POL-41 · POL-45</t>
  </si>
  <si>
    <t>게이트웨이에서의 재사용 차단까지 수행</t>
  </si>
  <si>
    <t>배포자 서명 검증</t>
  </si>
  <si>
    <t>서명이 없는 배포물은 검증 대상이 없음</t>
  </si>
  <si>
    <t>해시 고정과 도입 보류로 대체</t>
  </si>
  <si>
    <t>원격 OAuth 인증 응답 대조</t>
  </si>
  <si>
    <t>솔루션이 원격 서버의 OAuth 인증 과정에 참여하지 않음</t>
  </si>
  <si>
    <t>POL-13</t>
  </si>
  <si>
    <t>원격 서버 내부 동작 확인</t>
  </si>
  <si>
    <t>원격 서버 내부의 중복 실행과 연결 대상은 관측할 수 없음</t>
  </si>
  <si>
    <t>POL-36 · POL-40</t>
  </si>
  <si>
    <t>게이트웨이 경계까지 통제</t>
  </si>
  <si>
    <t>도입 적절성·법적 요건·계약 검토</t>
  </si>
  <si>
    <t>도입 목적의 적절성, 법적 요건, 외부 제공자 계약 조건 판단</t>
  </si>
  <si>
    <t>POL-02 · POL-03 · POL-06 · POL-07</t>
  </si>
  <si>
    <t>검토 결과와 승인 근거는 솔루션에 기록</t>
  </si>
  <si>
    <t>최종 승인 판단·실동작 시험</t>
  </si>
  <si>
    <t>운영 연결의 최종 승인 판단과 Tool 실제 동작 일치 시험</t>
  </si>
  <si>
    <t>POL-05 · POL-27</t>
  </si>
  <si>
    <t>승인 절차와 기록은 솔루션이 제공</t>
  </si>
  <si>
    <t>에이전트 내부·외부 시스템 조치</t>
  </si>
  <si>
    <t>에이전트 컨텍스트 분리, 원본 문서 진위, 외부 저장소·제공자 측 정리</t>
  </si>
  <si>
    <t>POL-32 · POL-34 · POL-47 · POL-48 · POL-49</t>
  </si>
  <si>
    <t>MCP 보안 거버넌스 솔루션 개발 WBS</t>
  </si>
  <si>
    <t>단계 점수 0 = 미확인 · 0.5 = 부분 · 1 = 충족. 진척률 = 다섯 단계 점수의 평균. 현재 개발 작업의 점수는 10-15 검수 스냅샷(snapshot.json), G01.05는 10-15 밤 배포 결과로 작성. 추가 개발 일정은 제안안으로 팀 확정이 필요함.</t>
  </si>
  <si>
    <t>전체 작업</t>
  </si>
  <si>
    <t>현재 개발</t>
  </si>
  <si>
    <t>추가 개발</t>
  </si>
  <si>
    <t>검수 완료</t>
  </si>
  <si>
    <t>현재 개발 진척률</t>
  </si>
  <si>
    <t>전체 진척률</t>
  </si>
  <si>
    <t>범례:</t>
  </si>
  <si>
    <t>추가 개발 작업</t>
  </si>
  <si>
    <t>계획: 신규 개발</t>
  </si>
  <si>
    <t>계획: 실기기 확인·완료 검수</t>
  </si>
  <si>
    <t>파란 숫자 = 단계 점수 입력값(0 / 0.5 / 1)</t>
  </si>
  <si>
    <t>개발 계획(안)</t>
  </si>
  <si>
    <t>WBS ID</t>
  </si>
  <si>
    <t>작업</t>
  </si>
  <si>
    <t>완료 기준</t>
  </si>
  <si>
    <t>구분</t>
  </si>
  <si>
    <t>구현</t>
  </si>
  <si>
    <t>회귀 시험</t>
  </si>
  <si>
    <t>기기 배포</t>
  </si>
  <si>
    <t>실기기 확인</t>
  </si>
  <si>
    <t>완료 검수</t>
  </si>
  <si>
    <t>진척률</t>
  </si>
  <si>
    <t>상태</t>
  </si>
  <si>
    <t>남은 작업</t>
  </si>
  <si>
    <t>10월 4주</t>
  </si>
  <si>
    <t>10월 5주</t>
  </si>
  <si>
    <t>11월 1주</t>
  </si>
  <si>
    <t>11월 2주</t>
  </si>
  <si>
    <t>11월 3주</t>
  </si>
  <si>
    <t>11월 4주</t>
  </si>
  <si>
    <t>12월 1주</t>
  </si>
  <si>
    <t>12월 2주</t>
  </si>
  <si>
    <t>G01.01</t>
  </si>
  <si>
    <t>G01 도입·공급망 검증</t>
  </si>
  <si>
    <t>도입물 출처·버전·원본 해시 등록</t>
  </si>
  <si>
    <t>새 도구를 승인할 때마다 공급 URL, 변경 불가능한 버전 또는 커밋, 라이선스, 배포 파일의 SHA-256을 저장하고 실제 배포 파일과 대조한다. 값이 누락되거나 일치하지 않으면 등록을 보류한다.</t>
  </si>
  <si>
    <t>실제 도입 요청으로 보관본 해시 대조·보류를 기기에서 확인해야 한다. 패키지 레지스트리 도입물은 경로가 없다.</t>
  </si>
  <si>
    <t>G01.02</t>
  </si>
  <si>
    <t>SBOM·취약점·라이선스 검사와 재평가 연결</t>
  </si>
  <si>
    <t>각 SBOM 구성요소의 라이선스·취약점 현황과 출처 확인 시각을 승인된 릴리스에 연결한다. 검사기 장애나 치명적 취약점 발견 시 배포를 차단하고, 취약점 데이터베이스가 오래된 경우도 검증한다.</t>
  </si>
  <si>
    <t>POL-01 · 03 · 39</t>
  </si>
  <si>
    <t>실제 도입 검사에서 신선도·치명 발견 보류를 확인해야 한다.</t>
  </si>
  <si>
    <t>G01.03</t>
  </si>
  <si>
    <t>도입 범위·기능별 최소권한 사전 심사</t>
  </si>
  <si>
    <t>각 도구의 목적·자산·읽기·변경·실행 권한·외부 목적지를 사람이 승인한 범위로 제한한다. 검토하지 않은 도구는 검색과 호출을 모두 막고, 독립적인 효과 확인으로 범위가 지켜졌는지 검증한다. 시험 환경은 운영 경로와 분리하고 합성 데이터·지정된 격리 자원으로 검증한다.</t>
  </si>
  <si>
    <t>POL-02 · 23</t>
  </si>
  <si>
    <t>이름이 주소가 아닌 인자에 담긴 주소는 PAC 전송 검사에 맡긴다. 쓰기 도구의 독립 효과 시험은 남았다.</t>
  </si>
  <si>
    <t>G01.04</t>
  </si>
  <si>
    <t>설치·로그 수신물의 원본/정규화 hash 사슬</t>
  </si>
  <si>
    <t>공급자 원본 해시, 기기 설치 파일 해시, 수신 원본 자료 해시, 비밀을 제거한 투영 자료 해시를 각각의 역할에 맞춰 보존한다. 원본 전달물과 기기 이벤트의 일치 여부 및 정규화 규칙을 독립 검증한다.</t>
  </si>
  <si>
    <t>서버는 원본 바이트를 검증할 수 없다(침해된 root에는 증명이 아님). 설치 파일 해시 사슬의 실기기 대조가 남았다.</t>
  </si>
  <si>
    <t>G01.05</t>
  </si>
  <si>
    <t>승인 소스 MCP 격리 실행기</t>
  </si>
  <si>
    <t>승인된 커밋만 고정 방식으로 빌드·실행하고 심사 목적지만 허용하며, 철회·종료 시 정지한다</t>
  </si>
  <si>
    <t>POL-09 · 46</t>
  </si>
  <si>
    <t>등록 해제·종료·빌드 중 승인 철회의 실기기 정지 시험이 남았다.</t>
  </si>
  <si>
    <t>G01.06</t>
  </si>
  <si>
    <t>운영 서버 이미지 주기 재검사·기한 초과 격리</t>
  </si>
  <si>
    <t>실행 중 이미지 재검사 결과가 기한을 넘기면 자동 격리되고 기록된다</t>
  </si>
  <si>
    <t>신규 개발</t>
  </si>
  <si>
    <t>G02.01</t>
  </si>
  <si>
    <t>G02 승인·계약 관리</t>
  </si>
  <si>
    <t>신청자와 승인자 독립성·승인 기록 보호</t>
  </si>
  <si>
    <t>신청자와 검토자가 같을 수 없도록 강제하고 위험 수준별 사람 승인을 적용한다. 승인 주체·근거·검토 범위를 기록하며, 무효 처리된 자기 승인 사례는 감사용 비활성 기록으로만 보존한다.</t>
  </si>
  <si>
    <t>POL-08 · 38</t>
  </si>
  <si>
    <t>같은 사람이 승인하려 할 때의 화면 거부는 이번에 확인하지 않았다.</t>
  </si>
  <si>
    <t>G02.02</t>
  </si>
  <si>
    <t>도구 이름·설명·schema·버전 계약 해시 잠금</t>
  </si>
  <si>
    <t>등록·승인된 설명, 입력 스키마, 서버 버전 해시가 재시작·재탐색·동일 이름 도구 상황에서도 일치해야 한다. B 버전의 변경은 전달 전에 차단하고, A 버전으로 되돌렸을 때 A가 다시 관찰되는지 확인한다.</t>
  </si>
  <si>
    <t>POL-11 · 37</t>
  </si>
  <si>
    <t>실서버 계약 변경 사례와 재시작 경계 확인이 남았다.</t>
  </si>
  <si>
    <t>G02.03</t>
  </si>
  <si>
    <t>승인 만료·중지·변경 후 재승인</t>
  </si>
  <si>
    <t>만료·철회·계약 변경 후에는 기존 설정이나 새 도구 호출이 전달되지 않아야 한다. 실제 하네스에서 사용자 동의와 운영자 승인이 각각 별도로 기록되는지 확인한다.</t>
  </si>
  <si>
    <t>POL-37 · 40 · 44</t>
  </si>
  <si>
    <t>실제 하네스 E2E가 남았다. 철회 뒤 같은 승인으로 다시 등록할 수 있는 기존 경로는 결정 대기.</t>
  </si>
  <si>
    <t>G02.04</t>
  </si>
  <si>
    <t>승인 서버 설정을 하네스별 최소 집합으로 배포</t>
  </si>
  <si>
    <t>새로 승인된 하네스에는 허용된 서버만 표시되고, 등록이 철회된 서버는 목록과 호출에서 모두 제외되어야 한다. 모델에서 MCP 서버, 판정 기록까지 이어지는 연결을 확인한다.</t>
  </si>
  <si>
    <t>POL-11 · 12</t>
  </si>
  <si>
    <t>Codex 설정 쪽은 이번에 하네스로 확인하지 않았다.</t>
  </si>
  <si>
    <t>G02.05</t>
  </si>
  <si>
    <t>데이터·기능 단위 사용자 동의 확인</t>
  </si>
  <si>
    <t>동의가 없는 데이터·기능 호출이 차단되고 확인 요청이 나간다</t>
  </si>
  <si>
    <t>G03.01</t>
  </si>
  <si>
    <t>G03 신원·호출 권한</t>
  </si>
  <si>
    <t>transport 인증 주체·audience·scope·만료 검증</t>
  </si>
  <si>
    <t>발급자가 다르거나 대상·권한 범위가 잘못된 자격, 만료·철회된 자격은 업스트림 호출을 시도하기 전에 차단한다. 호출자 주체는 전송 계층의 인증 정보만으로 정하고, 프롬프트나 헤더의 자기 주장으로 권한을 바꾸지 않는다.</t>
  </si>
  <si>
    <t>POL-19 · 21</t>
  </si>
  <si>
    <t>하네스 경로의 audience·scope 반례 실기기 시험이 남았다.</t>
  </si>
  <si>
    <t>G03.02</t>
  </si>
  <si>
    <t>PAC-05 agent delegation 교집합 상태를 명시</t>
  </si>
  <si>
    <t>PAC-05 위임을 활성화하려면 검증 가능한 전송 계층 신원으로 사용자와 에이전트 주체를 각각 확인하고, 승인된 권한·만료·철회 상태의 교집합만 허용한다. `clientInfo`나 `User-Agent`처럼 호출자가 주장하는 에이전트 식별자는 권한 근거로 거부한다. 신뢰할 에이전트 신원을 확인할 수 없으면 위임 호출을 거부하고 미지원 상태를 표시한다.</t>
  </si>
  <si>
    <t>위임 활성화는 하지 않았다. 검증 가능한 에이전트 신원이 생기면 교집합 구현이 필요하다.</t>
  </si>
  <si>
    <t>G03.03</t>
  </si>
  <si>
    <t>요청별 행위·인자·자산·목적지 권한 재판정</t>
  </si>
  <si>
    <t>같은 도구라도 SQL·경로·수신자·자산이 바뀌면 매 호출마다 다시 분류한다. 정규화된 차단은 요청 전 적용되어야 하며, 독립된 대상에서 실제 효과가 0건인지 확인한다.</t>
  </si>
  <si>
    <t>POL-22 · 23 · 24 · 25 · 26</t>
  </si>
  <si>
    <t>쓰기 도구의 독립 효과 0건 확인이 남았다.</t>
  </si>
  <si>
    <t>G03.04</t>
  </si>
  <si>
    <t>동일 호출·동시 실행·승인 재사용 예약의 원자성</t>
  </si>
  <si>
    <t>경계 조건에서 허용되는 부수효과는 정확히 1회여야 하고, 중복 요청이나 승인을 재사용한 요청은 0회여야 한다. 프로세스가 중단된 경우 실행 여부가 불확실한 상태로 남기고 자동 재시도하지 않는다.</t>
  </si>
  <si>
    <t>POL-27 · 28 · 36</t>
  </si>
  <si>
    <t>실기기 동시성·중단 시험과 상태 의존 서버(DEV-29)가 남았다.</t>
  </si>
  <si>
    <t>G03.05</t>
  </si>
  <si>
    <t>연결 직전 DNS 확인·IP 고정 접속</t>
  </si>
  <si>
    <t>DNS 재바인딩·리디렉션·미승인 OAuth 조회 대상 반례가 모두 차단된다</t>
  </si>
  <si>
    <t>POL-10 · 40</t>
  </si>
  <si>
    <t>G03.06</t>
  </si>
  <si>
    <t>단일 조회 반환 건수·크기 상한</t>
  </si>
  <si>
    <t>상한 초과·전체 폴더 조회가 차단되고 정상 조회는 통과한다</t>
  </si>
  <si>
    <t>G03.07</t>
  </si>
  <si>
    <t>변경 요청 멱등 키</t>
  </si>
  <si>
    <t>같은 변경의 재전송·재시도가 한 번만 실행된다</t>
  </si>
  <si>
    <t>G03.08</t>
  </si>
  <si>
    <t>설정·실행 인자·오류 응답 인증정보 노출 차단</t>
  </si>
  <si>
    <t>인증정보 원문이 설정·인자·오류 응답에 남지 않는다</t>
  </si>
  <si>
    <t>G04.01</t>
  </si>
  <si>
    <t>G04 데이터·비신뢰 결과 보호</t>
  </si>
  <si>
    <t>입력 schema·크기·경로 검사 및 injection 분류</t>
  </si>
  <si>
    <t>스키마·경로·인코딩·크기와 프롬프트 삽입 시험 자료를 정상 대조군과 함께 실행한다. 정확한 정책 식별자, 도구 전달 여부, 오탐·미탐 건수를 기록한다.</t>
  </si>
  <si>
    <t>POL-24 · 29</t>
  </si>
  <si>
    <t>경로·인코딩 게이트의 실기기 반례 시험이 남았다.</t>
  </si>
  <si>
    <t>G04.02</t>
  </si>
  <si>
    <t>응답 PII/secret 마스킹·hold/release 경계</t>
  </si>
  <si>
    <t>합성 비밀이 모델에 전달되는 원문이나 구조화된 결과에 남지 않아야 한다. 업스트림 요청 시도·실행 여부와 결과를 가리거나 보류·공개한 상태를 각각 구분해 표시한다.</t>
  </si>
  <si>
    <t>POL-30</t>
  </si>
  <si>
    <t>마스킹된 유형별 정탐·오탐 대조는 하지 않았다. 라벨 없는 사업자·계좌 번호는 가리지 않는다.</t>
  </si>
  <si>
    <t>G04.03</t>
  </si>
  <si>
    <t>도구 결과의 비신뢰 지시 보류와 정상 언어 대조</t>
  </si>
  <si>
    <t>영어·한국어·인코딩 정상 자료와 공격 자료를 현재 소스와 일치하는 환경에서 다시 시험한다. 오탐과 미탐을 공개하고, 응답을 보류한 것을 업스트림 실행 방지로 표현하지 않는다.</t>
  </si>
  <si>
    <t>POL-04 · 29</t>
  </si>
  <si>
    <t>명령형 도구 응답·설득문·다국어 의역·rot13류는 다루지 않는다. 한국어 표본은 같은 작성자다.</t>
  </si>
  <si>
    <t>G04.04</t>
  </si>
  <si>
    <t>검사기·PDP·목적지 자료 누락은 fail-closed</t>
  </si>
  <si>
    <t>검사기·정책 판정기·도구 목록의 누락 또는 잘못된 형식은 업스트림 호출 전에 차단한다. 명시적으로 비어 있는 허용 목록과 오류를 구분하고, 독립 수신 측에서 요청이 없었는지 확인한다.</t>
  </si>
  <si>
    <t>POL-22</t>
  </si>
  <si>
    <t>독립 수신 측에서 요청 0건을 보는 실기기 장애 시험이 남았다.</t>
  </si>
  <si>
    <t>G04.05</t>
  </si>
  <si>
    <t>외부 전송 목적 결속</t>
  </si>
  <si>
    <t>목적·수신처·등급 조합이 승인과 다르면 전송이 차단된다</t>
  </si>
  <si>
    <t>G04.06</t>
  </si>
  <si>
    <t>도구별 허용 입력 항목·입력 마스킹</t>
  </si>
  <si>
    <t>허용 밖 입력 항목과 민감정보가 전달되지 않는다</t>
  </si>
  <si>
    <t>G04.07</t>
  </si>
  <si>
    <t>세션 내 중요정보 표시 전파·서버 간 전달 경계</t>
  </si>
  <si>
    <t>승인 없는 서버 간 중요정보 전달이 차단된다</t>
  </si>
  <si>
    <t>G05.01</t>
  </si>
  <si>
    <t>G05 엔드포인트 집행</t>
  </si>
  <si>
    <t>관리형 UID/profile/kernel 건강상태를 exact-bound 검증</t>
  </si>
  <si>
    <t>정확한 UID·보안 프로필·규칙 이름·SID·설정 해시와 현재 강제 적용 상태가 모두 맞을 때만 준수로 판정한다. 비활성·누락·다른 계정·감사 전용 모드는 차단한다.</t>
  </si>
  <si>
    <t>POL-12</t>
  </si>
  <si>
    <t>보고된 Linux·Windows 합성 회귀 9건은 통과했지만 Windows 운영체제 수준의 기기 강제 적용은 아직 검증되지 않았다. PJ1 Linux의 정확한 검사 결과도 관리형 신원 한 건에 한정된다.</t>
  </si>
  <si>
    <t>G05.02</t>
  </si>
  <si>
    <t>비인가 stdio·IPv4/IPv6 loopback을 독립 효과 0으로 확인</t>
  </si>
  <si>
    <t>새로 준비한 관리형 하네스에서 실제 공식 파일시스템 MCP가 표준입출력으로 직접 호출을 시도하고, IPv4·IPv6 표식 수신기도 각각 확인한다. 강제 적용 프로필에서 독립 수신기와 파일의 효과가 0인지, 정확히 어느 계층에서 거부됐는지 기록하며, 승인된 게이트웨이 경로는 정상 동작하는지 대조한다.</t>
  </si>
  <si>
    <t>POL-12 · 17</t>
  </si>
  <si>
    <t>E13은 아직 완료되지 않았다. 지금까지의 실제 차단 시험은 Node·인터프리터와 SSH 루프백을 대상으로 했으며 파일시스템 MCP의 실제 표준입출력 호출은 시험하지 않았다. 관리자·root와 다른 비제한 계정은 범위 밖이고 Windows의 운영체제 수준 강제 적용 증거도 없다.</t>
  </si>
  <si>
    <t>G05.03</t>
  </si>
  <si>
    <t>프로세스·MCP 발견자료를 자동·수동 전송 종류별로 구분</t>
  </si>
  <si>
    <t>프로세스 관측 자료는 출처가 자동임을 나타내고 원본 해시와 이벤트 시각을 포함해 자동으로 솔루션에 도달해야 한다. 수동 보조 업로드와 운영체제 이벤트 자동 전달은 구분하며, 수집기 신선도·오프라인 상황과 중복 방지도 시험한다.</t>
  </si>
  <si>
    <t>POL-12 · 42</t>
  </si>
  <si>
    <t>실제 MCP 앱 프로세스 식별·다른 OS와 실기기 오프라인/중복 시험이 남았다. 출처 라벨은 장치 키 소유자의 자기 신고다.</t>
  </si>
  <si>
    <t>G05.04</t>
  </si>
  <si>
    <t>통제 밖 UID·사용자 PC·Windows scope 명시</t>
  </si>
  <si>
    <t>비관리 계정은 적용 범위 밖으로 분류할 수 있어야 한다. UID·프로필별 관측 범위를 표시하고 모든 로컬 앱과 계정이 차단됐다고 주장하지 않는다. Windows 지원을 주장하기 전에 격리된 Windows 승인 시험을 완료한다.</t>
  </si>
  <si>
    <t>비제한 UID 1000은 실제로 GhidraMCP 읽기 도구를 호출했고 관리형 UID 1001은 승인되지 않은 Python 실행이 차단됐다. 이는 계정별 결과이며 Windows 운영체제 직접 강제 적용은 확인되지 않았다.</t>
  </si>
  <si>
    <t>G06.01</t>
  </si>
  <si>
    <t>G06 감사·로그 전달</t>
  </si>
  <si>
    <t>MCP request·Gateway decision·endpoint event ID 상관관계</t>
  </si>
  <si>
    <t>한 번의 실행에서 하네스 이벤트, 엔드포인트 프로세스·이벤트 식별자, 요청 추적 식별자, 정책 판정, 업스트림 시도·결과, 독립 수신기 시각을 연결한다. 서로 다른 로그를 같은 기록처럼 합치지 않는다.</t>
  </si>
  <si>
    <t>하네스 이벤트와 독립 수신기 시각 연결이 남았다.</t>
  </si>
  <si>
    <t>G06.02</t>
  </si>
  <si>
    <t>시도·판정·실행·응답 효과를 별도 표현</t>
  </si>
  <si>
    <t>화면은 요청 전 차단, 허용 후 실행, 업스트림 오류, 출력 보류·가림, 독립 수신기에서 확인된 성공 효과를 구분한다. 업스트림 시도·실행 표시가 수신기 결과와 일치하는지 확인한다.</t>
  </si>
  <si>
    <t>독립 수신기 성공 효과를 화면에서 대조하는 실기기 시험이 남았다.</t>
  </si>
  <si>
    <t>G06.03</t>
  </si>
  <si>
    <t>수집 성공·실패·last success·전체집계 표시</t>
  </si>
  <si>
    <t>화면에서 최근 수신 목록과 전체 항목 수를 구분하고, 이미 제공되는 24시간 전체 거부 집계를 유지·확인한다. 마지막 성공 수집 시각과 수집기 신선도·오프라인·오류 상태를 표시해 텔레메트리 누락을 거부 0건으로 오인하지 않게 한다. listener 전용 상세·집계에서 누락된 항목을 확인하고, 200건 조회 상한에 닿으면 페이지 이동 또는 잘림 표시로 결과 범위를 드러낸다.</t>
  </si>
  <si>
    <t>200건 초과 실기기 데이터의 페이지 이동 확인이 남았다.</t>
  </si>
  <si>
    <t>G06.04</t>
  </si>
  <si>
    <t>원본 event와 솔루션 보관본의 hash/projection 일치</t>
  </si>
  <si>
    <t>전달 자료마다 원본 해시, 출처 파일·바이트 해시, 비밀 제거 후 투영 자료 해시, 변환 내역, 수신 시각을 남긴다. 비밀 원문을 보존하지 않으면서 바이트가 달라진 경우를 탐지하는지 시험한다.</t>
  </si>
  <si>
    <t>원본 바이트 자체는 서버가 검증할 수 없다.</t>
  </si>
  <si>
    <t>G06.05</t>
  </si>
  <si>
    <t>정책 배포 후 경보 자체 시험</t>
  </si>
  <si>
    <t>배포 직후 합성 이벤트에 대한 경보 결과가 기록된다</t>
  </si>
  <si>
    <t>G07.01</t>
  </si>
  <si>
    <t>G07 종료·폐기</t>
  </si>
  <si>
    <t>사용자·device token·refresh family 즉시 폐기</t>
  </si>
  <si>
    <t>새 보호 API 요청과 MCP 호출에서 철회된 토큰 및 그 파생 토큰이 모두 거부되어야 한다. 발급과 철회를 경쟁시켜 데이터베이스 트랜잭션이 원자적으로 롤백되는지 확인하고, 제공자 측 자원 자격의 철회는 별도로 증명한다.</t>
  </si>
  <si>
    <t>POL-44 · 45</t>
  </si>
  <si>
    <t>실기기 폐기·제공자 측 자원 자격은 G07.03에서 따로 본다.</t>
  </si>
  <si>
    <t>G07.02</t>
  </si>
  <si>
    <t>활성 세션·MCP server session 종료와 재접근 차단</t>
  </si>
  <si>
    <t>새 세션과 기존 세션에서 C1~C4의 종료 조건을 각각 확인한다. 오래된 세션이 다시 데이터를 가져오지 못해야 하며 T1~T3 증거도 기록한다.</t>
  </si>
  <si>
    <t>POL-44 · 46</t>
  </si>
  <si>
    <t>상태 의존 서버(email·Playwright)의 오래된 세션 재접근 시험이 남았다.</t>
  </si>
  <si>
    <t>G07.03</t>
  </si>
  <si>
    <t>외부 provider·resource server 잔존 접근 확인</t>
  </si>
  <si>
    <t>로컬 설정을 삭제한 뒤 제공자의 보호 자원에서 이전 토큰·세션이 실제로 거부되는지 확인한다. 확인할 수 없다면 제공자 측 폐기는 미검증으로 표시하고 만료 시간만 기록한다.</t>
  </si>
  <si>
    <t>POL-41 · 45</t>
  </si>
  <si>
    <t>조직이 제공자 토큰 사본을 보관할 위치에 대한 사용자 결정이 필요하다.</t>
  </si>
  <si>
    <t>G07.04</t>
  </si>
  <si>
    <t>설정·credential 제거 후 잔존/백업 복구 테스트</t>
  </si>
  <si>
    <t>격리 시험 자격을 연결 해제하고 철회한 뒤 task 백업이나 캐시에서 다시 복구되지 않는지 확인한다. 비밀 원문은 남기지 않으면서 감사 추적을 보존하고 무관한 파일을 삭제하지 않는다.</t>
  </si>
  <si>
    <t>POL-48 · 50</t>
  </si>
  <si>
    <t>직원 PC의 task 백업·캐시·내보낸 파일에서의 복구 시험이 남았다.</t>
  </si>
  <si>
    <t>G07.05</t>
  </si>
  <si>
    <t>탐지 시 서버·도구 자동 중지</t>
  </si>
  <si>
    <t>미승인 변경·이상 호출 탐지 시 해당 서버·도구가 자동 중지된다</t>
  </si>
  <si>
    <t>G07.06</t>
  </si>
  <si>
    <t>서명된 폐기 목록과 복원 후 대조</t>
  </si>
  <si>
    <t>백업 복원 후 폐기된 연결·인증정보가 다시 허용되지 않는다</t>
  </si>
  <si>
    <t>G08.01</t>
  </si>
  <si>
    <t>G08 가입·설치·하네스 운영</t>
  </si>
  <si>
    <t>조직가입·장치 enrollment·활성화·재접속 경로</t>
  </si>
  <si>
    <t>격리된 Linux와 Windows 설치를 같은 절차로 시험한다. 등록 대기 상태는 거부되고, 올바른 소유자는 활성화되며, 잘못되거나 오래된 heartbeat는 격리되어야 한다. 기기 데이터베이스 조회와 관리형 사용자 흐름으로 결과를 각각 확인한다.</t>
  </si>
  <si>
    <t>Windows 실기기와 격리 환경 enrollment 회귀가 남았다.</t>
  </si>
  <si>
    <t>G08.02</t>
  </si>
  <si>
    <t>지원 공식 harness에서 fresh model→MCP call 검증</t>
  </si>
  <si>
    <t>승인된 최신 하네스에서 승인 서버를 통해 합성 읽기·쓰기 호출을 수행한다. 모델 버전과 대화, 인자, 게이트웨이 식별자, 엔드포인트 식별자, 제공자 응답, 독립 효과, 정리 결과가 서로 일치해야 한다.</t>
  </si>
  <si>
    <t>Codex 하네스와 E01~E13 전체 조건은 남았다. Context7은 제공자 익명 할당량 초과를 반환했다.</t>
  </si>
  <si>
    <t>G08.03</t>
  </si>
  <si>
    <t>사용자 승인/연결/등록 UI에 운영자 승인과 자가승인 분리</t>
  </si>
  <si>
    <t>새 등록 요청에서 데이터와 기능 범위를 보여 주고 독립적인 사람 승인을 요구한다. 에이전트가 스스로 대상을 승인한 시험 기록은 성공 근거로 사용하지 않는다.</t>
  </si>
  <si>
    <t>POL-08 · 27</t>
  </si>
  <si>
    <t>실제 등록 요청을 사람 계정으로 처리하는 확인이 남았다.</t>
  </si>
  <si>
    <t>G08.04</t>
  </si>
  <si>
    <t>설치·업데이트·오류 원인 및 재시도 사용성</t>
  </si>
  <si>
    <t>격리된 Linux·Windows 설치와 제거가 반복해도 안전해야 한다. 보고서 잠금 경쟁을 해결하고 사용자 파일을 보존하며, 실제 업데이트 롤백과 heartbeat 복구를 확인한다. 시험 환경은 운영 경로와 분리하고 합성 데이터·지정된 격리 자원으로 검증한다.</t>
  </si>
  <si>
    <t>과거 Windows `report.log`에는 WinError32 경쟁이 남아 있다. WSL Linux 설치 키트 17건 통과만으로 Windows의 동시성 문제를 해소했다고 볼 수 없다.</t>
  </si>
  <si>
    <t>G08.05</t>
  </si>
  <si>
    <t>하네스–게이트웨이 구간 TLS</t>
  </si>
  <si>
    <t>현장 배치의 하네스 연결이 TLS로만 동작하고 평문 접속은 거부된다</t>
  </si>
  <si>
    <t>G09.01</t>
  </si>
  <si>
    <t>G09 자원·연결 지표</t>
  </si>
  <si>
    <t>CPU·메모리 값의 측정 범위·출처를 정확히 표기</t>
  </si>
  <si>
    <t>관리자에게 CPU 사용량 차이와 `MemTotal-MemAvailable` 값을 단위·자료 범위(Linux 호스트 또는 가상 머신)·측정 시각·누락 상태와 함께 제공한다. 셸 실행이나 Docker 소켓은 요구하지 않는다.</t>
  </si>
  <si>
    <t>Chrome 실표시 재확인이 남았다.</t>
  </si>
  <si>
    <t>G09.02</t>
  </si>
  <si>
    <t>Console→고정 Gateway DNS/TCP 지연(ms) 표시 범위</t>
  </si>
  <si>
    <t>고정된 대상의 DNS 조회와 TCP 연결 시간을 밀리초로 표시하고, 시험 실패·시간 초과·측정 대상의 의미를 설명한다. 이를 사용자 기기의 왕복 지연 시간으로 표시하지 않는다.</t>
  </si>
  <si>
    <t>Console 실표시 재확인이 남았다.</t>
  </si>
  <si>
    <t>G09.03</t>
  </si>
  <si>
    <t>미측정·실패·오래된 데이터의 신선도 표현</t>
  </si>
  <si>
    <t>첫 측정 전, 30초를 넘긴 오래된 측정, 시간 초과, 알 수 없는 상태, 실제 0을 화면에서 구분한다. 오래된 캐시 측정치를 현재 값처럼 표시하지 않는다.</t>
  </si>
  <si>
    <t>G09.04</t>
  </si>
  <si>
    <t>관리자 scope·화면 갱신·Chrome 실제 표시 확인</t>
  </si>
  <si>
    <t>인증되지 않은 사용자, 직원용 MCP 권한만 가진 사용자, 잘못된 역할은 거부한다. 지원 대상 Chrome에서 관리자 Console 자격으로 최신 값, 갱신 주기, 오래된 상태 표시를 확인한다.</t>
  </si>
  <si>
    <t>Chrome에서 제품 화면을 확인했지만 이미지 캡처는 시간 초과됐다. 권한 없음·세션 만료 동작도 특정 브라우저에서만 확인됐다.</t>
  </si>
  <si>
    <t>G10.01</t>
  </si>
  <si>
    <t>G10 개발 협업·근거 관리</t>
  </si>
  <si>
    <t>개발 협업 현황 웹에서 공개 요청·응답·작업·검사 열람</t>
  </si>
  <si>
    <t>실제 요청·응답·작업·검사 이벤트를 링크와 함께 표시한다. 원본 대화와 비밀은 Git 추적에서 제외된 런타임 경로에 보관하고, 제품 운영 화면과 개발 협업 화면을 구분한다.</t>
  </si>
  <si>
    <t>이 Console은 로컬 개발 협업 화면이지 제품 운영 Console이 아니다. 실제 표시 범위는 공개 이벤트로 기록해 보낸 자료에 한정된다.</t>
  </si>
  <si>
    <t>G10.02</t>
  </si>
  <si>
    <t>모델 요청값·실응답 모델·turn error/NO_TOOL_CALL 구분</t>
  </si>
  <si>
    <t>화면에서 요청한 모델·추론 강도, 실제 응답 모델, 사용량 한도 오류, 작업 실패, 도구 호출 0건, 게이트웨이 기록 없음 상태를 구분한다. 원본 대화 내용은 비공개로 유지한다.</t>
  </si>
  <si>
    <t>실제 한도 거부 스트림 확인이 남았다.</t>
  </si>
  <si>
    <t>G10.03</t>
  </si>
  <si>
    <t>WBS 40 원자항목의 목표·PAC·근거·단계 상태 추적</t>
  </si>
  <si>
    <t>G01~G10에 서로 다른 원자 작업이 정확히 네 개씩 있어야 한다. 각 작업은 PAC 원본, 코드·시험, 정확한 증거, 남은 공백, 20%씩 가중한 다섯 단계 상태와 연결하고, 회귀 단계는 현재 소스 검토를 통과해야 한다.</t>
  </si>
  <si>
    <t>웹은 갱신 시각이 있는 검수 스냅샷이다. 제품 API 실시간 연동과 운영 수집기 자동화는 별도 후속.</t>
  </si>
  <si>
    <t>G10.04</t>
  </si>
  <si>
    <t>보고·증거 원본 hash·상태변경·완료율 공개 기준</t>
  </si>
  <si>
    <t>웹 화면은 변경할 수 없는 증거와 원본·소스 해시를 연결하고 보고 날짜와 증거 수준을 표시한다. 무효·대체된 기록을 유지하고 수동 텔레메트리를 자동 수집으로 계산하지 않는다.</t>
  </si>
  <si>
    <t>기술통제 정책 35개 대응 현황</t>
  </si>
  <si>
    <t>현재 = 개발 브랜치 c0fbab3 정적 판정 · 개발 후 = 개발 WBS 추가 개발 완료 시 · 분류는 팀 정책 커버리지 표 기준</t>
  </si>
  <si>
    <t>정책 ID</t>
  </si>
  <si>
    <t>정책명</t>
  </si>
  <si>
    <t>자동화 분류</t>
  </si>
  <si>
    <t>현재</t>
  </si>
  <si>
    <t>개발 후</t>
  </si>
  <si>
    <t>관련 추가 개발</t>
  </si>
  <si>
    <t>자동화 한계</t>
  </si>
  <si>
    <t>배포물 출처와 무결성 확인</t>
  </si>
  <si>
    <t>일부 자동화</t>
  </si>
  <si>
    <t>일부 구현</t>
  </si>
  <si>
    <t>서명 없는 배포물은 검증 대상 없음</t>
  </si>
  <si>
    <t>연결 승인과 사용자 동의 확인</t>
  </si>
  <si>
    <t>핵심 자동화</t>
  </si>
  <si>
    <t>POL-10</t>
  </si>
  <si>
    <t>미구현</t>
  </si>
  <si>
    <t>POL-11</t>
  </si>
  <si>
    <t>서버별 사용 기능 등록</t>
  </si>
  <si>
    <t>구현 비율</t>
  </si>
  <si>
    <t>인증 응답과 요청 상태의 일치 확인</t>
  </si>
  <si>
    <t>원격 OAuth 인증 과정 미참여</t>
  </si>
  <si>
    <t>구현 비율 = (구현 + 일부 구현 × 0.5) ÷ 35</t>
  </si>
  <si>
    <t>연결 설정의 인증정보 평문 노출 방지</t>
  </si>
  <si>
    <t>MCP Server별 인증정보 분리</t>
  </si>
  <si>
    <t>원격 MCP 전송 구간 보호</t>
  </si>
  <si>
    <t>HTTP 요청 출처 검증</t>
  </si>
  <si>
    <t>사용자와 에이전트 신원 확인</t>
  </si>
  <si>
    <t>에이전트 신원 증명 불가</t>
  </si>
  <si>
    <t>위임 범위와 유효기간 확인</t>
  </si>
  <si>
    <t>검증된 에이전트 주체 없음</t>
  </si>
  <si>
    <t>POL-21</t>
  </si>
  <si>
    <t>OAuth 토큰 검증</t>
  </si>
  <si>
    <t>요청마다 실행 권한 확인</t>
  </si>
  <si>
    <t>POL-23</t>
  </si>
  <si>
    <t>작업별 권한 구분</t>
  </si>
  <si>
    <t>POL-24</t>
  </si>
  <si>
    <t>입력값과 실행 대상 검사</t>
  </si>
  <si>
    <t>데이터별 접근권한 확인</t>
  </si>
  <si>
    <t>외부 서비스 자원 등급은 제공자 보유</t>
  </si>
  <si>
    <t>외부 전송 대상과 데이터 확인</t>
  </si>
  <si>
    <t>민감한 작업의 개별 승인</t>
  </si>
  <si>
    <t>POL-28</t>
  </si>
  <si>
    <t>호출량과 실행 시간 제한</t>
  </si>
  <si>
    <t>POL-29</t>
  </si>
  <si>
    <t>외부 콘텐츠를 이용한 권한 변경 차단</t>
  </si>
  <si>
    <t>응답의 민감정보 노출 제한</t>
  </si>
  <si>
    <t>Tool 사용 시  민감정보 제한</t>
  </si>
  <si>
    <t>서버 간 데이터 전달 경계 적용</t>
  </si>
  <si>
    <t>단일 조회의 문서 반환 범위 제한</t>
  </si>
  <si>
    <t>변경 작업의 중복 실행 방지</t>
  </si>
  <si>
    <t>POL-37</t>
  </si>
  <si>
    <t>구성 변경 검토와 재승인</t>
  </si>
  <si>
    <t>호출과 권한 변경 이력 관리</t>
  </si>
  <si>
    <t>알려진 취약점의 수정 및 격리</t>
  </si>
  <si>
    <t>POL-40</t>
  </si>
  <si>
    <t>연결 목적지 변경의 재승인</t>
  </si>
  <si>
    <t>POL-41</t>
  </si>
  <si>
    <t>인증정보 교체 후 이전 값 무효화</t>
  </si>
  <si>
    <t>제공자 측 무효화 관측 불가</t>
  </si>
  <si>
    <t>이상 징후 경보의 동작 확인</t>
  </si>
  <si>
    <t>탐지된 위험의 대응</t>
  </si>
  <si>
    <t>권한 철회와 연결 해제</t>
  </si>
  <si>
    <t>POL-45</t>
  </si>
  <si>
    <t>토큰과 API 키 회수</t>
  </si>
  <si>
    <t>제공자 측 회수 관측 불가</t>
  </si>
  <si>
    <t>복원 시 폐기된 연결의  / 재활성화 차단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</si>
</sst>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color theme="1"/>
      <name val="맑은 고딕"/>
      <family val="2"/>
      <scheme val="minor"/>
    </font>
    <font>
      <b/>
      <sz val="15"/>
      <name val="맑은 고딕"/>
      <family val="3"/>
      <charset val="129"/>
    </font>
    <font>
      <sz val="9"/>
      <color rgb="FF595959"/>
      <name val="맑은 고딕"/>
      <family val="3"/>
      <charset val="129"/>
    </font>
    <font>
      <sz val="10"/>
      <name val="맑은 고딕"/>
      <family val="3"/>
      <charset val="129"/>
    </font>
    <font>
      <b/>
      <sz val="10"/>
      <name val="맑은 고딕"/>
      <family val="3"/>
      <charset val="129"/>
    </font>
    <font>
      <b/>
      <sz val="10"/>
      <color rgb="FFFFFFFF"/>
      <name val="맑은 고딕"/>
      <family val="3"/>
      <charset val="129"/>
    </font>
    <font>
      <b/>
      <sz val="9"/>
      <color rgb="FFFFFFFF"/>
      <name val="맑은 고딕"/>
      <family val="3"/>
      <charset val="129"/>
    </font>
    <font>
      <sz val="10"/>
      <color rgb="FF000000"/>
      <name val="맑은 고딕"/>
      <family val="3"/>
      <charset val="129"/>
    </font>
    <font>
      <sz val="10"/>
      <color rgb="FF0000FF"/>
      <name val="맑은 고딕"/>
      <family val="3"/>
      <charset val="129"/>
    </font>
    <font>
      <sz val="9"/>
      <name val="맑은 고딕"/>
      <family val="3"/>
      <charset val="129"/>
    </font>
    <font>
      <b/>
      <sz val="11"/>
      <name val="맑은 고딕"/>
      <family val="3"/>
      <charset val="129"/>
    </font>
    <font>
      <b/>
      <sz val="9"/>
      <name val="맑은 고딕"/>
      <family val="3"/>
      <charset val="129"/>
    </font>
    <font>
      <sz val="9"/>
      <color rgb="FF000000"/>
      <name val="맑은 고딕"/>
      <family val="3"/>
      <charset val="129"/>
    </font>
    <font>
      <sz val="9"/>
      <color rgb="FF0000FF"/>
      <name val="맑은 고딕"/>
      <family val="3"/>
      <charset val="129"/>
    </font>
    <font>
      <sz val="8"/>
      <name val="맑은 고딕"/>
      <family val="3"/>
      <charset val="129"/>
      <scheme val="minor"/>
    </font>
  </fonts>
  <fills count="10">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DDEBF7"/>
      </patternFill>
    </fill>
    <fill>
      <patternFill patternType="solid">
        <fgColor rgb="FFEDEDED"/>
      </patternFill>
    </fill>
    <fill>
      <patternFill patternType="solid">
        <fgColor rgb="FFA9D08E"/>
      </patternFill>
    </fill>
    <fill>
      <patternFill patternType="solid">
        <fgColor rgb="FF5B9BD5"/>
      </patternFill>
    </fill>
    <fill>
      <patternFill patternType="solid">
        <fgColor rgb="FFD9E1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44">
    <xf numFmtId="0" fontId="0" fillId="0" borderId="0" xfId="0"/>
    <xf numFmtId="0" fontId="2" fillId="0" borderId="0" xfId="0" applyFont="1"/>
    <xf numFmtId="0" fontId="4" fillId="0" borderId="0" xfId="0" applyFont="1" applyAlignment="1">
      <alignment horizontal="center" vertical="center" wrapText="1"/>
    </xf>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0" fillId="0" borderId="1" xfId="0" applyFont="1" applyBorder="1" applyAlignment="1">
      <alignment horizontal="center" vertical="center" wrapText="1"/>
    </xf>
    <xf numFmtId="176" fontId="10" fillId="0" borderId="1" xfId="0" applyNumberFormat="1" applyFont="1" applyBorder="1" applyAlignment="1">
      <alignment horizontal="center" vertical="center" wrapText="1"/>
    </xf>
    <xf numFmtId="0" fontId="11" fillId="0" borderId="0" xfId="0" applyFont="1"/>
    <xf numFmtId="0" fontId="12" fillId="5" borderId="0" xfId="0" applyFont="1" applyFill="1"/>
    <xf numFmtId="0" fontId="12" fillId="8" borderId="0" xfId="0" applyFont="1" applyFill="1"/>
    <xf numFmtId="0" fontId="12" fillId="7" borderId="0" xfId="0" applyFont="1" applyFill="1"/>
    <xf numFmtId="0" fontId="13"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0" fillId="0" borderId="1" xfId="0" applyBorder="1"/>
    <xf numFmtId="0" fontId="0" fillId="7" borderId="1" xfId="0" applyFill="1" applyBorder="1"/>
    <xf numFmtId="0" fontId="7" fillId="5" borderId="1" xfId="0" applyFont="1" applyFill="1" applyBorder="1" applyAlignment="1">
      <alignment horizontal="center" vertical="center" wrapText="1"/>
    </xf>
    <xf numFmtId="0" fontId="7" fillId="5" borderId="1" xfId="0" applyFont="1" applyFill="1" applyBorder="1" applyAlignment="1">
      <alignment vertical="center" wrapText="1"/>
    </xf>
    <xf numFmtId="0" fontId="0" fillId="8" borderId="1" xfId="0" applyFill="1" applyBorder="1"/>
    <xf numFmtId="0" fontId="4"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0" xfId="0" applyFont="1" applyAlignment="1">
      <alignment vertical="center" wrapText="1"/>
    </xf>
    <xf numFmtId="0" fontId="0" fillId="0" borderId="0" xfId="0"/>
    <xf numFmtId="0" fontId="2" fillId="0" borderId="0" xfId="0" applyFont="1"/>
    <xf numFmtId="0" fontId="1" fillId="0" borderId="0" xfId="0" applyFont="1"/>
    <xf numFmtId="0" fontId="4" fillId="9" borderId="1" xfId="0" applyFont="1" applyFill="1" applyBorder="1" applyAlignment="1">
      <alignment horizontal="center" vertical="center" wrapText="1"/>
    </xf>
    <xf numFmtId="0" fontId="0" fillId="0" borderId="2" xfId="0" applyBorder="1"/>
    <xf numFmtId="0" fontId="4"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cellXfs>
  <cellStyles count="1">
    <cellStyle name="표준" xfId="0" builtinId="0"/>
  </cellStyles>
  <dxfs count="11">
    <dxf>
      <fill>
        <patternFill patternType="solid">
          <fgColor rgb="FFF8CBAD"/>
        </patternFill>
      </fill>
    </dxf>
    <dxf>
      <fill>
        <patternFill patternType="solid">
          <fgColor rgb="FFFFF2CC"/>
        </patternFill>
      </fill>
    </dxf>
    <dxf>
      <fill>
        <patternFill patternType="solid">
          <fgColor rgb="FFE2EFDA"/>
        </patternFill>
      </fill>
    </dxf>
    <dxf>
      <fill>
        <patternFill patternType="solid">
          <fgColor rgb="FFA9D08E"/>
        </patternFill>
      </fill>
    </dxf>
    <dxf>
      <fill>
        <patternFill patternType="solid">
          <fgColor rgb="FFDDEBF7"/>
        </patternFill>
      </fill>
    </dxf>
    <dxf>
      <fill>
        <patternFill patternType="solid">
          <fgColor rgb="FFFFF2CC"/>
        </patternFill>
      </fill>
    </dxf>
    <dxf>
      <fill>
        <patternFill patternType="solid">
          <fgColor rgb="FFE2EFDA"/>
        </patternFill>
      </fill>
    </dxf>
    <dxf>
      <fill>
        <patternFill patternType="solid">
          <fgColor rgb="FFEDEDED"/>
        </patternFill>
      </fill>
    </dxf>
    <dxf>
      <fill>
        <patternFill patternType="solid">
          <fgColor rgb="FFDDEBF7"/>
        </patternFill>
      </fill>
    </dxf>
    <dxf>
      <fill>
        <patternFill patternType="solid">
          <fgColor rgb="FFFFF2CC"/>
        </patternFill>
      </fill>
    </dxf>
    <dxf>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5"/>
  <sheetViews>
    <sheetView showGridLines="0" zoomScale="85" workbookViewId="0">
      <pane xSplit="2" ySplit="7" topLeftCell="C41" activePane="bottomRight" state="frozen"/>
      <selection pane="topRight"/>
      <selection pane="bottomLeft"/>
      <selection pane="bottomRight" activeCell="F63" sqref="F63"/>
    </sheetView>
  </sheetViews>
  <sheetFormatPr defaultRowHeight="17.399999999999999" x14ac:dyDescent="0.4"/>
  <cols>
    <col min="1" max="1" width="6" customWidth="1"/>
    <col min="2" max="2" width="16" customWidth="1"/>
    <col min="3" max="3" width="24" customWidth="1"/>
    <col min="4" max="4" width="52" customWidth="1"/>
    <col min="5" max="5" width="22" customWidth="1"/>
    <col min="6" max="6" width="26" customWidth="1"/>
    <col min="7" max="7" width="14" customWidth="1"/>
    <col min="8" max="8" width="36" customWidth="1"/>
  </cols>
  <sheetData>
    <row r="1" spans="1:9" ht="24" x14ac:dyDescent="0.55000000000000004">
      <c r="A1" s="37" t="s">
        <v>0</v>
      </c>
      <c r="B1" s="35"/>
      <c r="C1" s="35"/>
      <c r="D1" s="35"/>
      <c r="E1" s="35"/>
      <c r="F1" s="35"/>
      <c r="G1" s="35"/>
      <c r="H1" s="35"/>
    </row>
    <row r="2" spans="1:9" x14ac:dyDescent="0.4">
      <c r="A2" s="36" t="s">
        <v>1</v>
      </c>
      <c r="B2" s="35"/>
      <c r="C2" s="35"/>
      <c r="D2" s="35"/>
      <c r="E2" s="35"/>
      <c r="F2" s="35"/>
      <c r="G2" s="35"/>
      <c r="H2" s="35"/>
    </row>
    <row r="3" spans="1:9" ht="61.95" customHeight="1" x14ac:dyDescent="0.4">
      <c r="A3" s="34" t="s">
        <v>2</v>
      </c>
      <c r="B3" s="35"/>
      <c r="C3" s="35"/>
      <c r="D3" s="35"/>
      <c r="E3" s="35"/>
      <c r="F3" s="35"/>
      <c r="G3" s="35"/>
      <c r="H3" s="35"/>
    </row>
    <row r="5" spans="1:9" ht="31.2" x14ac:dyDescent="0.4">
      <c r="A5" s="2" t="s">
        <v>3</v>
      </c>
      <c r="B5" s="3" t="s">
        <v>4</v>
      </c>
      <c r="C5" s="2">
        <f>COUNTIF($G$8:$G$65,"개발 완료")</f>
        <v>31</v>
      </c>
      <c r="D5" s="4" t="s">
        <v>5</v>
      </c>
      <c r="E5" s="2">
        <f>COUNTIF($G$8:$G$65,"일부 개발")</f>
        <v>4</v>
      </c>
      <c r="F5" s="5" t="s">
        <v>6</v>
      </c>
      <c r="G5" s="2">
        <f>COUNTIF($G$8:$G$65,"개발 예정")</f>
        <v>13</v>
      </c>
      <c r="H5" s="6" t="s">
        <v>7</v>
      </c>
      <c r="I5" s="2">
        <f>COUNTIF($G$8:$G$65,"자동화 범위 제외")</f>
        <v>10</v>
      </c>
    </row>
    <row r="7" spans="1:9" x14ac:dyDescent="0.4">
      <c r="A7" s="7" t="s">
        <v>8</v>
      </c>
      <c r="B7" s="7" t="s">
        <v>9</v>
      </c>
      <c r="C7" s="7" t="s">
        <v>10</v>
      </c>
      <c r="D7" s="7" t="s">
        <v>11</v>
      </c>
      <c r="E7" s="7" t="s">
        <v>12</v>
      </c>
      <c r="F7" s="7" t="s">
        <v>13</v>
      </c>
      <c r="G7" s="7" t="s">
        <v>3</v>
      </c>
      <c r="H7" s="7" t="s">
        <v>14</v>
      </c>
    </row>
    <row r="8" spans="1:9" x14ac:dyDescent="0.4">
      <c r="A8" s="8">
        <v>1</v>
      </c>
      <c r="B8" s="41" t="s">
        <v>15</v>
      </c>
      <c r="C8" s="9" t="s">
        <v>16</v>
      </c>
      <c r="D8" s="9" t="s">
        <v>17</v>
      </c>
      <c r="E8" s="9" t="s">
        <v>18</v>
      </c>
      <c r="F8" s="9" t="s">
        <v>19</v>
      </c>
      <c r="G8" s="10" t="s">
        <v>4</v>
      </c>
      <c r="H8" s="9" t="s">
        <v>20</v>
      </c>
    </row>
    <row r="9" spans="1:9" ht="31.2" x14ac:dyDescent="0.4">
      <c r="A9" s="8">
        <v>2</v>
      </c>
      <c r="B9" s="42"/>
      <c r="C9" s="9" t="s">
        <v>21</v>
      </c>
      <c r="D9" s="9" t="s">
        <v>22</v>
      </c>
      <c r="E9" s="9" t="s">
        <v>23</v>
      </c>
      <c r="F9" s="9" t="s">
        <v>24</v>
      </c>
      <c r="G9" s="10" t="s">
        <v>4</v>
      </c>
      <c r="H9" s="9" t="s">
        <v>25</v>
      </c>
    </row>
    <row r="10" spans="1:9" ht="31.2" x14ac:dyDescent="0.4">
      <c r="A10" s="8">
        <v>3</v>
      </c>
      <c r="B10" s="42"/>
      <c r="C10" s="9" t="s">
        <v>26</v>
      </c>
      <c r="D10" s="9" t="s">
        <v>27</v>
      </c>
      <c r="E10" s="9" t="s">
        <v>28</v>
      </c>
      <c r="F10" s="9" t="s">
        <v>29</v>
      </c>
      <c r="G10" s="10" t="s">
        <v>4</v>
      </c>
      <c r="H10" s="9" t="s">
        <v>30</v>
      </c>
    </row>
    <row r="11" spans="1:9" ht="31.2" x14ac:dyDescent="0.4">
      <c r="A11" s="8">
        <v>4</v>
      </c>
      <c r="B11" s="42"/>
      <c r="C11" s="9" t="s">
        <v>31</v>
      </c>
      <c r="D11" s="9" t="s">
        <v>32</v>
      </c>
      <c r="E11" s="9" t="s">
        <v>33</v>
      </c>
      <c r="F11" s="9" t="s">
        <v>34</v>
      </c>
      <c r="G11" s="11" t="s">
        <v>5</v>
      </c>
      <c r="H11" s="9" t="s">
        <v>35</v>
      </c>
    </row>
    <row r="12" spans="1:9" x14ac:dyDescent="0.4">
      <c r="A12" s="8">
        <v>5</v>
      </c>
      <c r="B12" s="43"/>
      <c r="C12" s="9" t="s">
        <v>36</v>
      </c>
      <c r="D12" s="9" t="s">
        <v>37</v>
      </c>
      <c r="E12" s="9" t="s">
        <v>38</v>
      </c>
      <c r="F12" s="9" t="s">
        <v>39</v>
      </c>
      <c r="G12" s="10" t="s">
        <v>4</v>
      </c>
      <c r="H12" s="9" t="s">
        <v>40</v>
      </c>
    </row>
    <row r="13" spans="1:9" x14ac:dyDescent="0.4">
      <c r="A13" s="8">
        <v>6</v>
      </c>
      <c r="B13" s="41" t="s">
        <v>41</v>
      </c>
      <c r="C13" s="9" t="s">
        <v>42</v>
      </c>
      <c r="D13" s="9" t="s">
        <v>43</v>
      </c>
      <c r="E13" s="9" t="s">
        <v>44</v>
      </c>
      <c r="F13" s="9" t="s">
        <v>19</v>
      </c>
      <c r="G13" s="10" t="s">
        <v>4</v>
      </c>
      <c r="H13" s="9"/>
    </row>
    <row r="14" spans="1:9" x14ac:dyDescent="0.4">
      <c r="A14" s="8">
        <v>7</v>
      </c>
      <c r="B14" s="42"/>
      <c r="C14" s="9" t="s">
        <v>45</v>
      </c>
      <c r="D14" s="9" t="s">
        <v>46</v>
      </c>
      <c r="E14" s="9" t="s">
        <v>47</v>
      </c>
      <c r="F14" s="9" t="s">
        <v>48</v>
      </c>
      <c r="G14" s="10" t="s">
        <v>4</v>
      </c>
      <c r="H14" s="9"/>
    </row>
    <row r="15" spans="1:9" x14ac:dyDescent="0.4">
      <c r="A15" s="8">
        <v>8</v>
      </c>
      <c r="B15" s="42"/>
      <c r="C15" s="9" t="s">
        <v>49</v>
      </c>
      <c r="D15" s="9" t="s">
        <v>50</v>
      </c>
      <c r="E15" s="9" t="s">
        <v>51</v>
      </c>
      <c r="F15" s="9" t="s">
        <v>52</v>
      </c>
      <c r="G15" s="10" t="s">
        <v>4</v>
      </c>
      <c r="H15" s="9"/>
    </row>
    <row r="16" spans="1:9" x14ac:dyDescent="0.4">
      <c r="A16" s="8">
        <v>9</v>
      </c>
      <c r="B16" s="42"/>
      <c r="C16" s="9" t="s">
        <v>53</v>
      </c>
      <c r="D16" s="9" t="s">
        <v>54</v>
      </c>
      <c r="E16" s="9" t="s">
        <v>55</v>
      </c>
      <c r="F16" s="9" t="s">
        <v>56</v>
      </c>
      <c r="G16" s="10" t="s">
        <v>4</v>
      </c>
      <c r="H16" s="9" t="s">
        <v>57</v>
      </c>
    </row>
    <row r="17" spans="1:8" x14ac:dyDescent="0.4">
      <c r="A17" s="8">
        <v>10</v>
      </c>
      <c r="B17" s="42"/>
      <c r="C17" s="9" t="s">
        <v>58</v>
      </c>
      <c r="D17" s="9" t="s">
        <v>59</v>
      </c>
      <c r="E17" s="9" t="s">
        <v>60</v>
      </c>
      <c r="F17" s="9" t="s">
        <v>61</v>
      </c>
      <c r="G17" s="10" t="s">
        <v>4</v>
      </c>
      <c r="H17" s="9"/>
    </row>
    <row r="18" spans="1:8" ht="31.2" x14ac:dyDescent="0.4">
      <c r="A18" s="8">
        <v>11</v>
      </c>
      <c r="B18" s="42"/>
      <c r="C18" s="9" t="s">
        <v>62</v>
      </c>
      <c r="D18" s="9" t="s">
        <v>63</v>
      </c>
      <c r="E18" s="9" t="s">
        <v>64</v>
      </c>
      <c r="F18" s="9" t="s">
        <v>65</v>
      </c>
      <c r="G18" s="10" t="s">
        <v>4</v>
      </c>
      <c r="H18" s="9" t="s">
        <v>66</v>
      </c>
    </row>
    <row r="19" spans="1:8" ht="31.2" x14ac:dyDescent="0.4">
      <c r="A19" s="8">
        <v>12</v>
      </c>
      <c r="B19" s="43"/>
      <c r="C19" s="9" t="s">
        <v>67</v>
      </c>
      <c r="D19" s="9" t="s">
        <v>68</v>
      </c>
      <c r="E19" s="9" t="s">
        <v>69</v>
      </c>
      <c r="F19" s="9" t="s">
        <v>70</v>
      </c>
      <c r="G19" s="12" t="s">
        <v>6</v>
      </c>
      <c r="H19" s="9"/>
    </row>
    <row r="20" spans="1:8" x14ac:dyDescent="0.4">
      <c r="A20" s="8">
        <v>13</v>
      </c>
      <c r="B20" s="41" t="s">
        <v>71</v>
      </c>
      <c r="C20" s="9" t="s">
        <v>72</v>
      </c>
      <c r="D20" s="9" t="s">
        <v>73</v>
      </c>
      <c r="E20" s="9" t="s">
        <v>74</v>
      </c>
      <c r="F20" s="9" t="s">
        <v>75</v>
      </c>
      <c r="G20" s="10" t="s">
        <v>4</v>
      </c>
      <c r="H20" s="9"/>
    </row>
    <row r="21" spans="1:8" x14ac:dyDescent="0.4">
      <c r="A21" s="8">
        <v>14</v>
      </c>
      <c r="B21" s="42"/>
      <c r="C21" s="9" t="s">
        <v>76</v>
      </c>
      <c r="D21" s="9" t="s">
        <v>77</v>
      </c>
      <c r="E21" s="9" t="s">
        <v>78</v>
      </c>
      <c r="F21" s="9" t="s">
        <v>79</v>
      </c>
      <c r="G21" s="10" t="s">
        <v>4</v>
      </c>
      <c r="H21" s="9"/>
    </row>
    <row r="22" spans="1:8" x14ac:dyDescent="0.4">
      <c r="A22" s="8">
        <v>15</v>
      </c>
      <c r="B22" s="42"/>
      <c r="C22" s="9" t="s">
        <v>80</v>
      </c>
      <c r="D22" s="9" t="s">
        <v>81</v>
      </c>
      <c r="E22" s="9" t="s">
        <v>82</v>
      </c>
      <c r="F22" s="9" t="s">
        <v>83</v>
      </c>
      <c r="G22" s="10" t="s">
        <v>4</v>
      </c>
      <c r="H22" s="9" t="s">
        <v>84</v>
      </c>
    </row>
    <row r="23" spans="1:8" x14ac:dyDescent="0.4">
      <c r="A23" s="8">
        <v>16</v>
      </c>
      <c r="B23" s="42"/>
      <c r="C23" s="9" t="s">
        <v>85</v>
      </c>
      <c r="D23" s="9" t="s">
        <v>86</v>
      </c>
      <c r="E23" s="9" t="s">
        <v>87</v>
      </c>
      <c r="F23" s="9" t="s">
        <v>88</v>
      </c>
      <c r="G23" s="10" t="s">
        <v>4</v>
      </c>
      <c r="H23" s="9"/>
    </row>
    <row r="24" spans="1:8" x14ac:dyDescent="0.4">
      <c r="A24" s="8">
        <v>17</v>
      </c>
      <c r="B24" s="42"/>
      <c r="C24" s="9" t="s">
        <v>89</v>
      </c>
      <c r="D24" s="9" t="s">
        <v>90</v>
      </c>
      <c r="E24" s="9" t="s">
        <v>91</v>
      </c>
      <c r="F24" s="9" t="s">
        <v>92</v>
      </c>
      <c r="G24" s="10" t="s">
        <v>4</v>
      </c>
      <c r="H24" s="9" t="s">
        <v>93</v>
      </c>
    </row>
    <row r="25" spans="1:8" x14ac:dyDescent="0.4">
      <c r="A25" s="8">
        <v>18</v>
      </c>
      <c r="B25" s="42"/>
      <c r="C25" s="9" t="s">
        <v>94</v>
      </c>
      <c r="D25" s="9" t="s">
        <v>95</v>
      </c>
      <c r="E25" s="9" t="s">
        <v>96</v>
      </c>
      <c r="F25" s="9" t="s">
        <v>39</v>
      </c>
      <c r="G25" s="10" t="s">
        <v>4</v>
      </c>
      <c r="H25" s="9"/>
    </row>
    <row r="26" spans="1:8" ht="31.2" x14ac:dyDescent="0.4">
      <c r="A26" s="8">
        <v>19</v>
      </c>
      <c r="B26" s="43"/>
      <c r="C26" s="9" t="s">
        <v>97</v>
      </c>
      <c r="D26" s="9" t="s">
        <v>98</v>
      </c>
      <c r="E26" s="9" t="s">
        <v>99</v>
      </c>
      <c r="F26" s="9" t="s">
        <v>100</v>
      </c>
      <c r="G26" s="12" t="s">
        <v>6</v>
      </c>
      <c r="H26" s="9"/>
    </row>
    <row r="27" spans="1:8" ht="31.2" x14ac:dyDescent="0.4">
      <c r="A27" s="8">
        <v>20</v>
      </c>
      <c r="B27" s="41" t="s">
        <v>101</v>
      </c>
      <c r="C27" s="9" t="s">
        <v>102</v>
      </c>
      <c r="D27" s="9" t="s">
        <v>103</v>
      </c>
      <c r="E27" s="9" t="s">
        <v>23</v>
      </c>
      <c r="F27" s="9" t="s">
        <v>104</v>
      </c>
      <c r="G27" s="10" t="s">
        <v>4</v>
      </c>
      <c r="H27" s="9" t="s">
        <v>105</v>
      </c>
    </row>
    <row r="28" spans="1:8" ht="31.2" x14ac:dyDescent="0.4">
      <c r="A28" s="8">
        <v>21</v>
      </c>
      <c r="B28" s="42"/>
      <c r="C28" s="9" t="s">
        <v>106</v>
      </c>
      <c r="D28" s="9" t="s">
        <v>107</v>
      </c>
      <c r="E28" s="9" t="s">
        <v>108</v>
      </c>
      <c r="F28" s="9" t="s">
        <v>109</v>
      </c>
      <c r="G28" s="10" t="s">
        <v>4</v>
      </c>
      <c r="H28" s="9"/>
    </row>
    <row r="29" spans="1:8" x14ac:dyDescent="0.4">
      <c r="A29" s="8">
        <v>22</v>
      </c>
      <c r="B29" s="42"/>
      <c r="C29" s="9" t="s">
        <v>110</v>
      </c>
      <c r="D29" s="9" t="s">
        <v>111</v>
      </c>
      <c r="E29" s="9" t="s">
        <v>112</v>
      </c>
      <c r="F29" s="9" t="s">
        <v>113</v>
      </c>
      <c r="G29" s="10" t="s">
        <v>4</v>
      </c>
      <c r="H29" s="9" t="s">
        <v>114</v>
      </c>
    </row>
    <row r="30" spans="1:8" ht="31.2" x14ac:dyDescent="0.4">
      <c r="A30" s="8">
        <v>23</v>
      </c>
      <c r="B30" s="42"/>
      <c r="C30" s="9" t="s">
        <v>115</v>
      </c>
      <c r="D30" s="9" t="s">
        <v>116</v>
      </c>
      <c r="E30" s="9" t="s">
        <v>117</v>
      </c>
      <c r="F30" s="9" t="s">
        <v>118</v>
      </c>
      <c r="G30" s="10" t="s">
        <v>4</v>
      </c>
      <c r="H30" s="9"/>
    </row>
    <row r="31" spans="1:8" x14ac:dyDescent="0.4">
      <c r="A31" s="8">
        <v>24</v>
      </c>
      <c r="B31" s="42"/>
      <c r="C31" s="9" t="s">
        <v>119</v>
      </c>
      <c r="D31" s="9" t="s">
        <v>120</v>
      </c>
      <c r="E31" s="9" t="s">
        <v>121</v>
      </c>
      <c r="F31" s="9" t="s">
        <v>88</v>
      </c>
      <c r="G31" s="10" t="s">
        <v>4</v>
      </c>
      <c r="H31" s="9"/>
    </row>
    <row r="32" spans="1:8" x14ac:dyDescent="0.4">
      <c r="A32" s="8">
        <v>25</v>
      </c>
      <c r="B32" s="42"/>
      <c r="C32" s="9" t="s">
        <v>122</v>
      </c>
      <c r="D32" s="9" t="s">
        <v>123</v>
      </c>
      <c r="E32" s="9" t="s">
        <v>124</v>
      </c>
      <c r="F32" s="9" t="s">
        <v>75</v>
      </c>
      <c r="G32" s="10" t="s">
        <v>4</v>
      </c>
      <c r="H32" s="9"/>
    </row>
    <row r="33" spans="1:8" x14ac:dyDescent="0.4">
      <c r="A33" s="8">
        <v>26</v>
      </c>
      <c r="B33" s="42"/>
      <c r="C33" s="9" t="s">
        <v>125</v>
      </c>
      <c r="D33" s="9" t="s">
        <v>126</v>
      </c>
      <c r="E33" s="9" t="s">
        <v>127</v>
      </c>
      <c r="F33" s="9" t="s">
        <v>128</v>
      </c>
      <c r="G33" s="10" t="s">
        <v>4</v>
      </c>
      <c r="H33" s="9"/>
    </row>
    <row r="34" spans="1:8" x14ac:dyDescent="0.4">
      <c r="A34" s="8">
        <v>27</v>
      </c>
      <c r="B34" s="42"/>
      <c r="C34" s="9" t="s">
        <v>129</v>
      </c>
      <c r="D34" s="9" t="s">
        <v>130</v>
      </c>
      <c r="E34" s="9" t="s">
        <v>131</v>
      </c>
      <c r="F34" s="9" t="s">
        <v>132</v>
      </c>
      <c r="G34" s="10" t="s">
        <v>4</v>
      </c>
      <c r="H34" s="9"/>
    </row>
    <row r="35" spans="1:8" ht="31.2" x14ac:dyDescent="0.4">
      <c r="A35" s="8">
        <v>28</v>
      </c>
      <c r="B35" s="42"/>
      <c r="C35" s="9" t="s">
        <v>133</v>
      </c>
      <c r="D35" s="9" t="s">
        <v>134</v>
      </c>
      <c r="E35" s="9" t="s">
        <v>135</v>
      </c>
      <c r="F35" s="9" t="s">
        <v>136</v>
      </c>
      <c r="G35" s="12" t="s">
        <v>6</v>
      </c>
      <c r="H35" s="9"/>
    </row>
    <row r="36" spans="1:8" x14ac:dyDescent="0.4">
      <c r="A36" s="8">
        <v>29</v>
      </c>
      <c r="B36" s="42"/>
      <c r="C36" s="9" t="s">
        <v>137</v>
      </c>
      <c r="D36" s="9" t="s">
        <v>138</v>
      </c>
      <c r="E36" s="9" t="s">
        <v>139</v>
      </c>
      <c r="F36" s="9" t="s">
        <v>140</v>
      </c>
      <c r="G36" s="12" t="s">
        <v>6</v>
      </c>
      <c r="H36" s="9" t="s">
        <v>141</v>
      </c>
    </row>
    <row r="37" spans="1:8" ht="31.2" x14ac:dyDescent="0.4">
      <c r="A37" s="8">
        <v>30</v>
      </c>
      <c r="B37" s="42"/>
      <c r="C37" s="9" t="s">
        <v>142</v>
      </c>
      <c r="D37" s="9" t="s">
        <v>143</v>
      </c>
      <c r="E37" s="9" t="s">
        <v>144</v>
      </c>
      <c r="F37" s="9" t="s">
        <v>145</v>
      </c>
      <c r="G37" s="12" t="s">
        <v>6</v>
      </c>
      <c r="H37" s="9"/>
    </row>
    <row r="38" spans="1:8" x14ac:dyDescent="0.4">
      <c r="A38" s="8">
        <v>31</v>
      </c>
      <c r="B38" s="42"/>
      <c r="C38" s="9" t="s">
        <v>146</v>
      </c>
      <c r="D38" s="9" t="s">
        <v>147</v>
      </c>
      <c r="E38" s="9" t="s">
        <v>148</v>
      </c>
      <c r="F38" s="9" t="s">
        <v>149</v>
      </c>
      <c r="G38" s="12" t="s">
        <v>6</v>
      </c>
      <c r="H38" s="9"/>
    </row>
    <row r="39" spans="1:8" x14ac:dyDescent="0.4">
      <c r="A39" s="8">
        <v>32</v>
      </c>
      <c r="B39" s="42"/>
      <c r="C39" s="9" t="s">
        <v>150</v>
      </c>
      <c r="D39" s="9" t="s">
        <v>151</v>
      </c>
      <c r="E39" s="9" t="s">
        <v>152</v>
      </c>
      <c r="F39" s="9" t="s">
        <v>153</v>
      </c>
      <c r="G39" s="12" t="s">
        <v>6</v>
      </c>
      <c r="H39" s="9"/>
    </row>
    <row r="40" spans="1:8" x14ac:dyDescent="0.4">
      <c r="A40" s="8">
        <v>33</v>
      </c>
      <c r="B40" s="42"/>
      <c r="C40" s="9" t="s">
        <v>154</v>
      </c>
      <c r="D40" s="9" t="s">
        <v>155</v>
      </c>
      <c r="E40" s="9" t="s">
        <v>156</v>
      </c>
      <c r="F40" s="9" t="s">
        <v>132</v>
      </c>
      <c r="G40" s="12" t="s">
        <v>6</v>
      </c>
      <c r="H40" s="9"/>
    </row>
    <row r="41" spans="1:8" x14ac:dyDescent="0.4">
      <c r="A41" s="8">
        <v>34</v>
      </c>
      <c r="B41" s="42"/>
      <c r="C41" s="9" t="s">
        <v>157</v>
      </c>
      <c r="D41" s="9" t="s">
        <v>158</v>
      </c>
      <c r="E41" s="9" t="s">
        <v>159</v>
      </c>
      <c r="F41" s="9" t="s">
        <v>75</v>
      </c>
      <c r="G41" s="12" t="s">
        <v>6</v>
      </c>
      <c r="H41" s="9" t="s">
        <v>160</v>
      </c>
    </row>
    <row r="42" spans="1:8" x14ac:dyDescent="0.4">
      <c r="A42" s="8">
        <v>35</v>
      </c>
      <c r="B42" s="43"/>
      <c r="C42" s="9" t="s">
        <v>161</v>
      </c>
      <c r="D42" s="9" t="s">
        <v>162</v>
      </c>
      <c r="E42" s="9" t="s">
        <v>60</v>
      </c>
      <c r="F42" s="9" t="s">
        <v>61</v>
      </c>
      <c r="G42" s="12" t="s">
        <v>6</v>
      </c>
      <c r="H42" s="9"/>
    </row>
    <row r="43" spans="1:8" x14ac:dyDescent="0.4">
      <c r="A43" s="8">
        <v>36</v>
      </c>
      <c r="B43" s="41" t="s">
        <v>163</v>
      </c>
      <c r="C43" s="9" t="s">
        <v>164</v>
      </c>
      <c r="D43" s="9" t="s">
        <v>165</v>
      </c>
      <c r="E43" s="9" t="s">
        <v>166</v>
      </c>
      <c r="F43" s="9" t="s">
        <v>167</v>
      </c>
      <c r="G43" s="10" t="s">
        <v>4</v>
      </c>
      <c r="H43" s="9" t="s">
        <v>168</v>
      </c>
    </row>
    <row r="44" spans="1:8" ht="31.2" x14ac:dyDescent="0.4">
      <c r="A44" s="8">
        <v>37</v>
      </c>
      <c r="B44" s="42"/>
      <c r="C44" s="9" t="s">
        <v>169</v>
      </c>
      <c r="D44" s="9" t="s">
        <v>170</v>
      </c>
      <c r="E44" s="9" t="s">
        <v>171</v>
      </c>
      <c r="F44" s="9" t="s">
        <v>75</v>
      </c>
      <c r="G44" s="10" t="s">
        <v>4</v>
      </c>
      <c r="H44" s="9"/>
    </row>
    <row r="45" spans="1:8" x14ac:dyDescent="0.4">
      <c r="A45" s="8">
        <v>38</v>
      </c>
      <c r="B45" s="42"/>
      <c r="C45" s="9" t="s">
        <v>172</v>
      </c>
      <c r="D45" s="9" t="s">
        <v>173</v>
      </c>
      <c r="E45" s="9" t="s">
        <v>171</v>
      </c>
      <c r="F45" s="9" t="s">
        <v>174</v>
      </c>
      <c r="G45" s="10" t="s">
        <v>4</v>
      </c>
      <c r="H45" s="9"/>
    </row>
    <row r="46" spans="1:8" x14ac:dyDescent="0.4">
      <c r="A46" s="8">
        <v>39</v>
      </c>
      <c r="B46" s="42"/>
      <c r="C46" s="9" t="s">
        <v>175</v>
      </c>
      <c r="D46" s="9" t="s">
        <v>176</v>
      </c>
      <c r="E46" s="9" t="s">
        <v>177</v>
      </c>
      <c r="F46" s="9" t="s">
        <v>178</v>
      </c>
      <c r="G46" s="10" t="s">
        <v>4</v>
      </c>
      <c r="H46" s="9"/>
    </row>
    <row r="47" spans="1:8" x14ac:dyDescent="0.4">
      <c r="A47" s="8">
        <v>40</v>
      </c>
      <c r="B47" s="42"/>
      <c r="C47" s="9" t="s">
        <v>179</v>
      </c>
      <c r="D47" s="9" t="s">
        <v>180</v>
      </c>
      <c r="E47" s="9" t="s">
        <v>171</v>
      </c>
      <c r="F47" s="9" t="s">
        <v>39</v>
      </c>
      <c r="G47" s="11" t="s">
        <v>5</v>
      </c>
      <c r="H47" s="9" t="s">
        <v>181</v>
      </c>
    </row>
    <row r="48" spans="1:8" x14ac:dyDescent="0.4">
      <c r="A48" s="8">
        <v>41</v>
      </c>
      <c r="B48" s="42"/>
      <c r="C48" s="9" t="s">
        <v>182</v>
      </c>
      <c r="D48" s="9" t="s">
        <v>183</v>
      </c>
      <c r="E48" s="9" t="s">
        <v>184</v>
      </c>
      <c r="F48" s="9" t="s">
        <v>132</v>
      </c>
      <c r="G48" s="12" t="s">
        <v>6</v>
      </c>
      <c r="H48" s="9"/>
    </row>
    <row r="49" spans="1:8" x14ac:dyDescent="0.4">
      <c r="A49" s="8">
        <v>42</v>
      </c>
      <c r="B49" s="43"/>
      <c r="C49" s="9" t="s">
        <v>185</v>
      </c>
      <c r="D49" s="9" t="s">
        <v>186</v>
      </c>
      <c r="E49" s="9" t="s">
        <v>187</v>
      </c>
      <c r="F49" s="9" t="s">
        <v>88</v>
      </c>
      <c r="G49" s="12" t="s">
        <v>6</v>
      </c>
      <c r="H49" s="9"/>
    </row>
    <row r="50" spans="1:8" x14ac:dyDescent="0.4">
      <c r="A50" s="8">
        <v>43</v>
      </c>
      <c r="B50" s="41" t="s">
        <v>188</v>
      </c>
      <c r="C50" s="9" t="s">
        <v>189</v>
      </c>
      <c r="D50" s="9" t="s">
        <v>190</v>
      </c>
      <c r="E50" s="9" t="s">
        <v>191</v>
      </c>
      <c r="F50" s="9" t="s">
        <v>178</v>
      </c>
      <c r="G50" s="10" t="s">
        <v>4</v>
      </c>
      <c r="H50" s="9"/>
    </row>
    <row r="51" spans="1:8" x14ac:dyDescent="0.4">
      <c r="A51" s="8">
        <v>44</v>
      </c>
      <c r="B51" s="42"/>
      <c r="C51" s="9" t="s">
        <v>192</v>
      </c>
      <c r="D51" s="9" t="s">
        <v>193</v>
      </c>
      <c r="E51" s="9" t="s">
        <v>194</v>
      </c>
      <c r="F51" s="9" t="s">
        <v>195</v>
      </c>
      <c r="G51" s="10" t="s">
        <v>4</v>
      </c>
      <c r="H51" s="9"/>
    </row>
    <row r="52" spans="1:8" ht="31.2" x14ac:dyDescent="0.4">
      <c r="A52" s="8">
        <v>45</v>
      </c>
      <c r="B52" s="42"/>
      <c r="C52" s="9" t="s">
        <v>196</v>
      </c>
      <c r="D52" s="9" t="s">
        <v>197</v>
      </c>
      <c r="E52" s="9" t="s">
        <v>198</v>
      </c>
      <c r="F52" s="9" t="s">
        <v>132</v>
      </c>
      <c r="G52" s="11" t="s">
        <v>5</v>
      </c>
      <c r="H52" s="9" t="s">
        <v>199</v>
      </c>
    </row>
    <row r="53" spans="1:8" x14ac:dyDescent="0.4">
      <c r="A53" s="8">
        <v>46</v>
      </c>
      <c r="B53" s="42"/>
      <c r="C53" s="9" t="s">
        <v>200</v>
      </c>
      <c r="D53" s="9" t="s">
        <v>201</v>
      </c>
      <c r="E53" s="9" t="s">
        <v>194</v>
      </c>
      <c r="F53" s="9" t="s">
        <v>75</v>
      </c>
      <c r="G53" s="10" t="s">
        <v>4</v>
      </c>
      <c r="H53" s="9"/>
    </row>
    <row r="54" spans="1:8" x14ac:dyDescent="0.4">
      <c r="A54" s="8">
        <v>47</v>
      </c>
      <c r="B54" s="42"/>
      <c r="C54" s="9" t="s">
        <v>202</v>
      </c>
      <c r="D54" s="9" t="s">
        <v>203</v>
      </c>
      <c r="E54" s="9" t="s">
        <v>204</v>
      </c>
      <c r="F54" s="9" t="s">
        <v>132</v>
      </c>
      <c r="G54" s="11" t="s">
        <v>5</v>
      </c>
      <c r="H54" s="9" t="s">
        <v>205</v>
      </c>
    </row>
    <row r="55" spans="1:8" ht="31.2" x14ac:dyDescent="0.4">
      <c r="A55" s="8">
        <v>48</v>
      </c>
      <c r="B55" s="43"/>
      <c r="C55" s="9" t="s">
        <v>206</v>
      </c>
      <c r="D55" s="9" t="s">
        <v>207</v>
      </c>
      <c r="E55" s="9" t="s">
        <v>208</v>
      </c>
      <c r="F55" s="9" t="s">
        <v>209</v>
      </c>
      <c r="G55" s="12" t="s">
        <v>6</v>
      </c>
      <c r="H55" s="9"/>
    </row>
    <row r="56" spans="1:8" x14ac:dyDescent="0.4">
      <c r="A56" s="8">
        <v>49</v>
      </c>
      <c r="B56" s="41" t="s">
        <v>7</v>
      </c>
      <c r="C56" s="9" t="s">
        <v>210</v>
      </c>
      <c r="D56" s="9" t="s">
        <v>211</v>
      </c>
      <c r="E56" s="9" t="s">
        <v>18</v>
      </c>
      <c r="F56" s="9" t="s">
        <v>212</v>
      </c>
      <c r="G56" s="13" t="s">
        <v>7</v>
      </c>
      <c r="H56" s="9" t="s">
        <v>213</v>
      </c>
    </row>
    <row r="57" spans="1:8" x14ac:dyDescent="0.4">
      <c r="A57" s="8">
        <v>50</v>
      </c>
      <c r="B57" s="42"/>
      <c r="C57" s="9" t="s">
        <v>214</v>
      </c>
      <c r="D57" s="9" t="s">
        <v>215</v>
      </c>
      <c r="E57" s="9" t="s">
        <v>216</v>
      </c>
      <c r="F57" s="9" t="s">
        <v>212</v>
      </c>
      <c r="G57" s="13" t="s">
        <v>7</v>
      </c>
      <c r="H57" s="9" t="s">
        <v>217</v>
      </c>
    </row>
    <row r="58" spans="1:8" x14ac:dyDescent="0.4">
      <c r="A58" s="8">
        <v>51</v>
      </c>
      <c r="B58" s="42"/>
      <c r="C58" s="9" t="s">
        <v>218</v>
      </c>
      <c r="D58" s="9" t="s">
        <v>219</v>
      </c>
      <c r="E58" s="9" t="s">
        <v>220</v>
      </c>
      <c r="F58" s="9" t="s">
        <v>212</v>
      </c>
      <c r="G58" s="13" t="s">
        <v>7</v>
      </c>
      <c r="H58" s="9" t="s">
        <v>221</v>
      </c>
    </row>
    <row r="59" spans="1:8" ht="31.2" x14ac:dyDescent="0.4">
      <c r="A59" s="8">
        <v>52</v>
      </c>
      <c r="B59" s="42"/>
      <c r="C59" s="9" t="s">
        <v>222</v>
      </c>
      <c r="D59" s="9" t="s">
        <v>223</v>
      </c>
      <c r="E59" s="9" t="s">
        <v>224</v>
      </c>
      <c r="F59" s="9" t="s">
        <v>212</v>
      </c>
      <c r="G59" s="13" t="s">
        <v>7</v>
      </c>
      <c r="H59" s="9" t="s">
        <v>225</v>
      </c>
    </row>
    <row r="60" spans="1:8" x14ac:dyDescent="0.4">
      <c r="A60" s="8">
        <v>53</v>
      </c>
      <c r="B60" s="42"/>
      <c r="C60" s="9" t="s">
        <v>226</v>
      </c>
      <c r="D60" s="9" t="s">
        <v>227</v>
      </c>
      <c r="E60" s="9" t="s">
        <v>91</v>
      </c>
      <c r="F60" s="9" t="s">
        <v>212</v>
      </c>
      <c r="G60" s="13" t="s">
        <v>7</v>
      </c>
      <c r="H60" s="9" t="s">
        <v>228</v>
      </c>
    </row>
    <row r="61" spans="1:8" x14ac:dyDescent="0.4">
      <c r="A61" s="8">
        <v>54</v>
      </c>
      <c r="B61" s="42"/>
      <c r="C61" s="9" t="s">
        <v>229</v>
      </c>
      <c r="D61" s="9" t="s">
        <v>230</v>
      </c>
      <c r="E61" s="9" t="s">
        <v>231</v>
      </c>
      <c r="F61" s="9" t="s">
        <v>212</v>
      </c>
      <c r="G61" s="13" t="s">
        <v>7</v>
      </c>
      <c r="H61" s="9"/>
    </row>
    <row r="62" spans="1:8" x14ac:dyDescent="0.4">
      <c r="A62" s="8">
        <v>55</v>
      </c>
      <c r="B62" s="42"/>
      <c r="C62" s="9" t="s">
        <v>232</v>
      </c>
      <c r="D62" s="9" t="s">
        <v>233</v>
      </c>
      <c r="E62" s="9" t="s">
        <v>234</v>
      </c>
      <c r="F62" s="9" t="s">
        <v>212</v>
      </c>
      <c r="G62" s="13" t="s">
        <v>7</v>
      </c>
      <c r="H62" s="9" t="s">
        <v>235</v>
      </c>
    </row>
    <row r="63" spans="1:8" ht="31.2" x14ac:dyDescent="0.4">
      <c r="A63" s="8">
        <v>56</v>
      </c>
      <c r="B63" s="42"/>
      <c r="C63" s="9" t="s">
        <v>236</v>
      </c>
      <c r="D63" s="9" t="s">
        <v>237</v>
      </c>
      <c r="E63" s="9" t="s">
        <v>238</v>
      </c>
      <c r="F63" s="9" t="s">
        <v>212</v>
      </c>
      <c r="G63" s="13" t="s">
        <v>7</v>
      </c>
      <c r="H63" s="9" t="s">
        <v>239</v>
      </c>
    </row>
    <row r="64" spans="1:8" x14ac:dyDescent="0.4">
      <c r="A64" s="8">
        <v>57</v>
      </c>
      <c r="B64" s="42"/>
      <c r="C64" s="9" t="s">
        <v>240</v>
      </c>
      <c r="D64" s="9" t="s">
        <v>241</v>
      </c>
      <c r="E64" s="9" t="s">
        <v>242</v>
      </c>
      <c r="F64" s="9" t="s">
        <v>212</v>
      </c>
      <c r="G64" s="13" t="s">
        <v>7</v>
      </c>
      <c r="H64" s="9" t="s">
        <v>243</v>
      </c>
    </row>
    <row r="65" spans="1:8" ht="31.2" x14ac:dyDescent="0.4">
      <c r="A65" s="8">
        <v>58</v>
      </c>
      <c r="B65" s="43"/>
      <c r="C65" s="9" t="s">
        <v>244</v>
      </c>
      <c r="D65" s="9" t="s">
        <v>245</v>
      </c>
      <c r="E65" s="9" t="s">
        <v>246</v>
      </c>
      <c r="F65" s="9" t="s">
        <v>212</v>
      </c>
      <c r="G65" s="13" t="s">
        <v>7</v>
      </c>
      <c r="H65" s="9"/>
    </row>
  </sheetData>
  <autoFilter ref="A7:H65" xr:uid="{00000000-0009-0000-0000-000000000000}"/>
  <mergeCells count="10">
    <mergeCell ref="B20:B26"/>
    <mergeCell ref="B27:B42"/>
    <mergeCell ref="B43:B49"/>
    <mergeCell ref="B50:B55"/>
    <mergeCell ref="B56:B65"/>
    <mergeCell ref="A3:H3"/>
    <mergeCell ref="A2:H2"/>
    <mergeCell ref="A1:H1"/>
    <mergeCell ref="B8:B12"/>
    <mergeCell ref="B13:B19"/>
  </mergeCells>
  <phoneticPr fontId="14" type="noConversion"/>
  <conditionalFormatting sqref="G8:G65">
    <cfRule type="cellIs" dxfId="10" priority="1" operator="equal">
      <formula>"개발 완료"</formula>
    </cfRule>
    <cfRule type="cellIs" dxfId="9" priority="2" operator="equal">
      <formula>"일부 개발"</formula>
    </cfRule>
    <cfRule type="cellIs" dxfId="8" priority="3" operator="equal">
      <formula>"개발 예정"</formula>
    </cfRule>
    <cfRule type="cellIs" dxfId="7" priority="4" operator="equal">
      <formula>"자동화 범위 제외"</formula>
    </cfRule>
  </conditionalFormatting>
  <dataValidations count="1">
    <dataValidation type="list" sqref="G8:G65" xr:uid="{00000000-0002-0000-0000-000000000000}">
      <formula1>"개발 완료,일부 개발,개발 예정,자동화 범위 제외"</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62"/>
  <sheetViews>
    <sheetView showGridLines="0" workbookViewId="0">
      <pane xSplit="3" ySplit="8" topLeftCell="D9" activePane="bottomRight" state="frozen"/>
      <selection pane="topRight"/>
      <selection pane="bottomLeft"/>
      <selection pane="bottomRight" activeCell="C11" sqref="C11"/>
    </sheetView>
  </sheetViews>
  <sheetFormatPr defaultRowHeight="17.399999999999999" x14ac:dyDescent="0.4"/>
  <cols>
    <col min="1" max="1" width="9" customWidth="1"/>
    <col min="2" max="2" width="16" customWidth="1"/>
    <col min="3" max="3" width="36" customWidth="1"/>
    <col min="4" max="4" width="46" customWidth="1"/>
    <col min="5" max="5" width="18" customWidth="1"/>
    <col min="6" max="6" width="11" customWidth="1"/>
    <col min="7" max="9" width="7" customWidth="1"/>
    <col min="10" max="10" width="8" customWidth="1"/>
    <col min="11" max="11" width="7" customWidth="1"/>
    <col min="12" max="12" width="9" customWidth="1"/>
    <col min="13" max="13" width="11" customWidth="1"/>
    <col min="14" max="14" width="46" customWidth="1"/>
    <col min="15" max="22" width="7" customWidth="1"/>
  </cols>
  <sheetData>
    <row r="1" spans="1:26" ht="24" x14ac:dyDescent="0.55000000000000004">
      <c r="A1" s="37" t="s">
        <v>247</v>
      </c>
      <c r="B1" s="35"/>
      <c r="C1" s="35"/>
      <c r="D1" s="35"/>
      <c r="E1" s="35"/>
      <c r="F1" s="35"/>
      <c r="G1" s="35"/>
      <c r="H1" s="35"/>
      <c r="I1" s="35"/>
      <c r="J1" s="35"/>
      <c r="K1" s="35"/>
      <c r="L1" s="35"/>
      <c r="M1" s="35"/>
      <c r="N1" s="35"/>
      <c r="O1" s="35"/>
      <c r="P1" s="35"/>
      <c r="Q1" s="35"/>
      <c r="R1" s="35"/>
      <c r="S1" s="35"/>
      <c r="T1" s="35"/>
      <c r="U1" s="35"/>
      <c r="V1" s="35"/>
      <c r="W1" s="35"/>
      <c r="X1" s="35"/>
      <c r="Y1" s="35"/>
      <c r="Z1" s="35"/>
    </row>
    <row r="2" spans="1:26" x14ac:dyDescent="0.4">
      <c r="A2" s="36" t="s">
        <v>248</v>
      </c>
      <c r="B2" s="35"/>
      <c r="C2" s="35"/>
      <c r="D2" s="35"/>
      <c r="E2" s="35"/>
      <c r="F2" s="35"/>
      <c r="G2" s="35"/>
      <c r="H2" s="35"/>
      <c r="I2" s="35"/>
      <c r="J2" s="35"/>
      <c r="K2" s="35"/>
      <c r="L2" s="35"/>
      <c r="M2" s="35"/>
      <c r="N2" s="35"/>
      <c r="O2" s="35"/>
      <c r="P2" s="35"/>
      <c r="Q2" s="35"/>
      <c r="R2" s="35"/>
      <c r="S2" s="35"/>
      <c r="T2" s="35"/>
      <c r="U2" s="35"/>
      <c r="V2" s="35"/>
      <c r="W2" s="35"/>
      <c r="X2" s="35"/>
      <c r="Y2" s="35"/>
      <c r="Z2" s="35"/>
    </row>
    <row r="3" spans="1:26" x14ac:dyDescent="0.4">
      <c r="A3" s="38" t="s">
        <v>249</v>
      </c>
      <c r="B3" s="39"/>
      <c r="C3" s="14">
        <f>COUNTA(A9:A62)</f>
        <v>54</v>
      </c>
      <c r="D3" s="38" t="s">
        <v>250</v>
      </c>
      <c r="E3" s="39"/>
      <c r="F3" s="14">
        <f>COUNTIF(F9:F62,"현재 개발")</f>
        <v>41</v>
      </c>
      <c r="G3" s="38" t="s">
        <v>251</v>
      </c>
      <c r="H3" s="39"/>
      <c r="I3" s="14">
        <f>COUNTIF(F9:F62,"추가 개발")</f>
        <v>13</v>
      </c>
      <c r="J3" s="38" t="s">
        <v>4</v>
      </c>
      <c r="K3" s="39"/>
      <c r="L3" s="14">
        <f>COUNTIF(M9:M62,"개발 완료")</f>
        <v>36</v>
      </c>
      <c r="M3" s="38" t="s">
        <v>5</v>
      </c>
      <c r="N3" s="39"/>
      <c r="O3" s="14">
        <f>COUNTIF(M9:M62,"일부 개발")</f>
        <v>5</v>
      </c>
    </row>
    <row r="4" spans="1:26" x14ac:dyDescent="0.4">
      <c r="A4" s="38" t="s">
        <v>6</v>
      </c>
      <c r="B4" s="39"/>
      <c r="C4" s="14">
        <f>COUNTIF(M9:M62,"개발 예정")</f>
        <v>13</v>
      </c>
      <c r="D4" s="38" t="s">
        <v>252</v>
      </c>
      <c r="E4" s="39"/>
      <c r="F4" s="14">
        <f>COUNTIF(M9:M62,"검수 완료")</f>
        <v>0</v>
      </c>
      <c r="G4" s="38" t="s">
        <v>253</v>
      </c>
      <c r="H4" s="39"/>
      <c r="I4" s="15">
        <f>AVERAGEIF(F9:F62,"현재 개발",L9:L62)</f>
        <v>0.57804878048780461</v>
      </c>
      <c r="J4" s="38" t="s">
        <v>254</v>
      </c>
      <c r="K4" s="39"/>
      <c r="L4" s="15">
        <f>AVERAGE(L9:L62)</f>
        <v>0.43888888888888866</v>
      </c>
    </row>
    <row r="6" spans="1:26" x14ac:dyDescent="0.4">
      <c r="A6" s="16" t="s">
        <v>255</v>
      </c>
      <c r="B6" s="17" t="s">
        <v>256</v>
      </c>
      <c r="C6" s="18" t="s">
        <v>257</v>
      </c>
      <c r="D6" s="19" t="s">
        <v>258</v>
      </c>
      <c r="E6" s="20" t="s">
        <v>259</v>
      </c>
    </row>
    <row r="7" spans="1:26" x14ac:dyDescent="0.4">
      <c r="O7" s="40" t="s">
        <v>260</v>
      </c>
      <c r="P7" s="35"/>
      <c r="Q7" s="35"/>
      <c r="R7" s="35"/>
      <c r="S7" s="35"/>
      <c r="T7" s="35"/>
      <c r="U7" s="35"/>
      <c r="V7" s="35"/>
    </row>
    <row r="8" spans="1:26" ht="31.2" x14ac:dyDescent="0.4">
      <c r="A8" s="7" t="s">
        <v>261</v>
      </c>
      <c r="B8" s="7" t="s">
        <v>9</v>
      </c>
      <c r="C8" s="7" t="s">
        <v>262</v>
      </c>
      <c r="D8" s="7" t="s">
        <v>263</v>
      </c>
      <c r="E8" s="7" t="s">
        <v>12</v>
      </c>
      <c r="F8" s="7" t="s">
        <v>264</v>
      </c>
      <c r="G8" s="7" t="s">
        <v>265</v>
      </c>
      <c r="H8" s="7" t="s">
        <v>266</v>
      </c>
      <c r="I8" s="7" t="s">
        <v>267</v>
      </c>
      <c r="J8" s="7" t="s">
        <v>268</v>
      </c>
      <c r="K8" s="7" t="s">
        <v>269</v>
      </c>
      <c r="L8" s="7" t="s">
        <v>270</v>
      </c>
      <c r="M8" s="7" t="s">
        <v>271</v>
      </c>
      <c r="N8" s="7" t="s">
        <v>272</v>
      </c>
      <c r="O8" s="21" t="s">
        <v>273</v>
      </c>
      <c r="P8" s="21" t="s">
        <v>274</v>
      </c>
      <c r="Q8" s="21" t="s">
        <v>275</v>
      </c>
      <c r="R8" s="21" t="s">
        <v>276</v>
      </c>
      <c r="S8" s="21" t="s">
        <v>277</v>
      </c>
      <c r="T8" s="21" t="s">
        <v>278</v>
      </c>
      <c r="U8" s="21" t="s">
        <v>279</v>
      </c>
      <c r="V8" s="21" t="s">
        <v>280</v>
      </c>
    </row>
    <row r="9" spans="1:26" ht="62.4" x14ac:dyDescent="0.4">
      <c r="A9" s="22" t="s">
        <v>281</v>
      </c>
      <c r="B9" s="23" t="s">
        <v>282</v>
      </c>
      <c r="C9" s="23" t="s">
        <v>283</v>
      </c>
      <c r="D9" s="23" t="s">
        <v>284</v>
      </c>
      <c r="E9" s="23" t="s">
        <v>91</v>
      </c>
      <c r="F9" s="22" t="s">
        <v>250</v>
      </c>
      <c r="G9" s="24">
        <v>1</v>
      </c>
      <c r="H9" s="24">
        <v>1</v>
      </c>
      <c r="I9" s="24">
        <v>1</v>
      </c>
      <c r="J9" s="24">
        <v>0</v>
      </c>
      <c r="K9" s="24">
        <v>0</v>
      </c>
      <c r="L9" s="25">
        <f t="shared" ref="L9:L40" si="0">AVERAGE(G9:K9)</f>
        <v>0.6</v>
      </c>
      <c r="M9" s="8" t="str">
        <f t="shared" ref="M9:M40" si="1">IF(G9=0,"개발 예정",IF(G9&lt;1,"일부 개발",IF(L9=1,"검수 완료","개발 완료")))</f>
        <v>개발 완료</v>
      </c>
      <c r="N9" s="26" t="s">
        <v>285</v>
      </c>
      <c r="O9" s="27"/>
      <c r="P9" s="27"/>
      <c r="Q9" s="27"/>
      <c r="R9" s="27"/>
      <c r="S9" s="27"/>
      <c r="T9" s="27"/>
      <c r="U9" s="28"/>
      <c r="V9" s="28"/>
    </row>
    <row r="10" spans="1:26" ht="62.4" x14ac:dyDescent="0.4">
      <c r="A10" s="22" t="s">
        <v>286</v>
      </c>
      <c r="B10" s="23" t="s">
        <v>282</v>
      </c>
      <c r="C10" s="23" t="s">
        <v>287</v>
      </c>
      <c r="D10" s="23" t="s">
        <v>288</v>
      </c>
      <c r="E10" s="23" t="s">
        <v>289</v>
      </c>
      <c r="F10" s="22" t="s">
        <v>250</v>
      </c>
      <c r="G10" s="24">
        <v>1</v>
      </c>
      <c r="H10" s="24">
        <v>1</v>
      </c>
      <c r="I10" s="24">
        <v>1</v>
      </c>
      <c r="J10" s="24">
        <v>0.5</v>
      </c>
      <c r="K10" s="24">
        <v>0</v>
      </c>
      <c r="L10" s="25">
        <f t="shared" si="0"/>
        <v>0.7</v>
      </c>
      <c r="M10" s="8" t="str">
        <f t="shared" si="1"/>
        <v>개발 완료</v>
      </c>
      <c r="N10" s="26" t="s">
        <v>290</v>
      </c>
      <c r="O10" s="27"/>
      <c r="P10" s="27"/>
      <c r="Q10" s="27"/>
      <c r="R10" s="27"/>
      <c r="S10" s="27"/>
      <c r="T10" s="27"/>
      <c r="U10" s="28"/>
      <c r="V10" s="28"/>
    </row>
    <row r="11" spans="1:26" ht="78" x14ac:dyDescent="0.4">
      <c r="A11" s="22" t="s">
        <v>291</v>
      </c>
      <c r="B11" s="23" t="s">
        <v>282</v>
      </c>
      <c r="C11" s="23" t="s">
        <v>292</v>
      </c>
      <c r="D11" s="23" t="s">
        <v>293</v>
      </c>
      <c r="E11" s="23" t="s">
        <v>294</v>
      </c>
      <c r="F11" s="22" t="s">
        <v>250</v>
      </c>
      <c r="G11" s="24">
        <v>1</v>
      </c>
      <c r="H11" s="24">
        <v>1</v>
      </c>
      <c r="I11" s="24">
        <v>1</v>
      </c>
      <c r="J11" s="24">
        <v>1</v>
      </c>
      <c r="K11" s="24">
        <v>0</v>
      </c>
      <c r="L11" s="25">
        <f t="shared" si="0"/>
        <v>0.8</v>
      </c>
      <c r="M11" s="8" t="str">
        <f t="shared" si="1"/>
        <v>개발 완료</v>
      </c>
      <c r="N11" s="26" t="s">
        <v>295</v>
      </c>
      <c r="O11" s="27"/>
      <c r="P11" s="27"/>
      <c r="Q11" s="27"/>
      <c r="R11" s="27"/>
      <c r="S11" s="27"/>
      <c r="T11" s="27"/>
      <c r="U11" s="28"/>
      <c r="V11" s="28"/>
    </row>
    <row r="12" spans="1:26" ht="62.4" x14ac:dyDescent="0.4">
      <c r="A12" s="22" t="s">
        <v>296</v>
      </c>
      <c r="B12" s="23" t="s">
        <v>282</v>
      </c>
      <c r="C12" s="23" t="s">
        <v>297</v>
      </c>
      <c r="D12" s="23" t="s">
        <v>298</v>
      </c>
      <c r="E12" s="23" t="s">
        <v>171</v>
      </c>
      <c r="F12" s="22" t="s">
        <v>250</v>
      </c>
      <c r="G12" s="24">
        <v>1</v>
      </c>
      <c r="H12" s="24">
        <v>1</v>
      </c>
      <c r="I12" s="24">
        <v>1</v>
      </c>
      <c r="J12" s="24">
        <v>0.5</v>
      </c>
      <c r="K12" s="24">
        <v>0</v>
      </c>
      <c r="L12" s="25">
        <f t="shared" si="0"/>
        <v>0.7</v>
      </c>
      <c r="M12" s="8" t="str">
        <f t="shared" si="1"/>
        <v>개발 완료</v>
      </c>
      <c r="N12" s="26" t="s">
        <v>299</v>
      </c>
      <c r="O12" s="27"/>
      <c r="P12" s="27"/>
      <c r="Q12" s="27"/>
      <c r="R12" s="27"/>
      <c r="S12" s="27"/>
      <c r="T12" s="27"/>
      <c r="U12" s="28"/>
      <c r="V12" s="28"/>
    </row>
    <row r="13" spans="1:26" ht="31.2" x14ac:dyDescent="0.4">
      <c r="A13" s="22" t="s">
        <v>300</v>
      </c>
      <c r="B13" s="23" t="s">
        <v>282</v>
      </c>
      <c r="C13" s="23" t="s">
        <v>301</v>
      </c>
      <c r="D13" s="23" t="s">
        <v>302</v>
      </c>
      <c r="E13" s="23" t="s">
        <v>303</v>
      </c>
      <c r="F13" s="22" t="s">
        <v>250</v>
      </c>
      <c r="G13" s="24">
        <v>1</v>
      </c>
      <c r="H13" s="24">
        <v>1</v>
      </c>
      <c r="I13" s="24">
        <v>1</v>
      </c>
      <c r="J13" s="24">
        <v>0.5</v>
      </c>
      <c r="K13" s="24">
        <v>0</v>
      </c>
      <c r="L13" s="25">
        <f t="shared" si="0"/>
        <v>0.7</v>
      </c>
      <c r="M13" s="8" t="str">
        <f t="shared" si="1"/>
        <v>개발 완료</v>
      </c>
      <c r="N13" s="26" t="s">
        <v>304</v>
      </c>
      <c r="O13" s="27"/>
      <c r="P13" s="27"/>
      <c r="Q13" s="27"/>
      <c r="R13" s="27"/>
      <c r="S13" s="27"/>
      <c r="T13" s="27"/>
      <c r="U13" s="28"/>
      <c r="V13" s="28"/>
    </row>
    <row r="14" spans="1:26" ht="31.2" x14ac:dyDescent="0.4">
      <c r="A14" s="29" t="s">
        <v>305</v>
      </c>
      <c r="B14" s="30" t="s">
        <v>282</v>
      </c>
      <c r="C14" s="30" t="s">
        <v>306</v>
      </c>
      <c r="D14" s="23" t="s">
        <v>307</v>
      </c>
      <c r="E14" s="23" t="s">
        <v>69</v>
      </c>
      <c r="F14" s="29" t="s">
        <v>251</v>
      </c>
      <c r="G14" s="24">
        <v>0</v>
      </c>
      <c r="H14" s="24">
        <v>0</v>
      </c>
      <c r="I14" s="24">
        <v>0</v>
      </c>
      <c r="J14" s="24">
        <v>0</v>
      </c>
      <c r="K14" s="24">
        <v>0</v>
      </c>
      <c r="L14" s="25">
        <f t="shared" si="0"/>
        <v>0</v>
      </c>
      <c r="M14" s="8" t="str">
        <f t="shared" si="1"/>
        <v>개발 예정</v>
      </c>
      <c r="N14" s="26" t="s">
        <v>308</v>
      </c>
      <c r="O14" s="27"/>
      <c r="P14" s="27"/>
      <c r="Q14" s="27"/>
      <c r="R14" s="27"/>
      <c r="S14" s="31"/>
      <c r="T14" s="31"/>
      <c r="U14" s="27"/>
      <c r="V14" s="27"/>
    </row>
    <row r="15" spans="1:26" ht="62.4" x14ac:dyDescent="0.4">
      <c r="A15" s="22" t="s">
        <v>309</v>
      </c>
      <c r="B15" s="23" t="s">
        <v>310</v>
      </c>
      <c r="C15" s="23" t="s">
        <v>311</v>
      </c>
      <c r="D15" s="23" t="s">
        <v>312</v>
      </c>
      <c r="E15" s="23" t="s">
        <v>313</v>
      </c>
      <c r="F15" s="22" t="s">
        <v>250</v>
      </c>
      <c r="G15" s="24">
        <v>1</v>
      </c>
      <c r="H15" s="24">
        <v>1</v>
      </c>
      <c r="I15" s="24">
        <v>1</v>
      </c>
      <c r="J15" s="24">
        <v>1</v>
      </c>
      <c r="K15" s="24">
        <v>0</v>
      </c>
      <c r="L15" s="25">
        <f t="shared" si="0"/>
        <v>0.8</v>
      </c>
      <c r="M15" s="8" t="str">
        <f t="shared" si="1"/>
        <v>개발 완료</v>
      </c>
      <c r="N15" s="26" t="s">
        <v>314</v>
      </c>
      <c r="O15" s="27"/>
      <c r="P15" s="27"/>
      <c r="Q15" s="27"/>
      <c r="R15" s="27"/>
      <c r="S15" s="27"/>
      <c r="T15" s="27"/>
      <c r="U15" s="28"/>
      <c r="V15" s="28"/>
    </row>
    <row r="16" spans="1:26" ht="62.4" x14ac:dyDescent="0.4">
      <c r="A16" s="22" t="s">
        <v>315</v>
      </c>
      <c r="B16" s="23" t="s">
        <v>310</v>
      </c>
      <c r="C16" s="23" t="s">
        <v>316</v>
      </c>
      <c r="D16" s="23" t="s">
        <v>317</v>
      </c>
      <c r="E16" s="23" t="s">
        <v>318</v>
      </c>
      <c r="F16" s="22" t="s">
        <v>250</v>
      </c>
      <c r="G16" s="24">
        <v>1</v>
      </c>
      <c r="H16" s="24">
        <v>1</v>
      </c>
      <c r="I16" s="24">
        <v>1</v>
      </c>
      <c r="J16" s="24">
        <v>0</v>
      </c>
      <c r="K16" s="24">
        <v>0</v>
      </c>
      <c r="L16" s="25">
        <f t="shared" si="0"/>
        <v>0.6</v>
      </c>
      <c r="M16" s="8" t="str">
        <f t="shared" si="1"/>
        <v>개발 완료</v>
      </c>
      <c r="N16" s="26" t="s">
        <v>319</v>
      </c>
      <c r="O16" s="27"/>
      <c r="P16" s="27"/>
      <c r="Q16" s="27"/>
      <c r="R16" s="27"/>
      <c r="S16" s="27"/>
      <c r="T16" s="27"/>
      <c r="U16" s="28"/>
      <c r="V16" s="28"/>
    </row>
    <row r="17" spans="1:22" ht="46.8" x14ac:dyDescent="0.4">
      <c r="A17" s="22" t="s">
        <v>320</v>
      </c>
      <c r="B17" s="23" t="s">
        <v>310</v>
      </c>
      <c r="C17" s="23" t="s">
        <v>321</v>
      </c>
      <c r="D17" s="23" t="s">
        <v>322</v>
      </c>
      <c r="E17" s="23" t="s">
        <v>323</v>
      </c>
      <c r="F17" s="22" t="s">
        <v>250</v>
      </c>
      <c r="G17" s="24">
        <v>1</v>
      </c>
      <c r="H17" s="24">
        <v>1</v>
      </c>
      <c r="I17" s="24">
        <v>1</v>
      </c>
      <c r="J17" s="24">
        <v>0</v>
      </c>
      <c r="K17" s="24">
        <v>0</v>
      </c>
      <c r="L17" s="25">
        <f t="shared" si="0"/>
        <v>0.6</v>
      </c>
      <c r="M17" s="8" t="str">
        <f t="shared" si="1"/>
        <v>개발 완료</v>
      </c>
      <c r="N17" s="26" t="s">
        <v>324</v>
      </c>
      <c r="O17" s="27"/>
      <c r="P17" s="27"/>
      <c r="Q17" s="27"/>
      <c r="R17" s="27"/>
      <c r="S17" s="27"/>
      <c r="T17" s="27"/>
      <c r="U17" s="28"/>
      <c r="V17" s="28"/>
    </row>
    <row r="18" spans="1:22" ht="62.4" x14ac:dyDescent="0.4">
      <c r="A18" s="22" t="s">
        <v>325</v>
      </c>
      <c r="B18" s="23" t="s">
        <v>310</v>
      </c>
      <c r="C18" s="23" t="s">
        <v>326</v>
      </c>
      <c r="D18" s="23" t="s">
        <v>327</v>
      </c>
      <c r="E18" s="23" t="s">
        <v>328</v>
      </c>
      <c r="F18" s="22" t="s">
        <v>250</v>
      </c>
      <c r="G18" s="24">
        <v>1</v>
      </c>
      <c r="H18" s="24">
        <v>1</v>
      </c>
      <c r="I18" s="24">
        <v>1</v>
      </c>
      <c r="J18" s="24">
        <v>1</v>
      </c>
      <c r="K18" s="24">
        <v>0</v>
      </c>
      <c r="L18" s="25">
        <f t="shared" si="0"/>
        <v>0.8</v>
      </c>
      <c r="M18" s="8" t="str">
        <f t="shared" si="1"/>
        <v>개발 완료</v>
      </c>
      <c r="N18" s="26" t="s">
        <v>329</v>
      </c>
      <c r="O18" s="27"/>
      <c r="P18" s="27"/>
      <c r="Q18" s="27"/>
      <c r="R18" s="27"/>
      <c r="S18" s="27"/>
      <c r="T18" s="27"/>
      <c r="U18" s="28"/>
      <c r="V18" s="28"/>
    </row>
    <row r="19" spans="1:22" ht="31.2" x14ac:dyDescent="0.4">
      <c r="A19" s="29" t="s">
        <v>330</v>
      </c>
      <c r="B19" s="30" t="s">
        <v>310</v>
      </c>
      <c r="C19" s="30" t="s">
        <v>331</v>
      </c>
      <c r="D19" s="23" t="s">
        <v>332</v>
      </c>
      <c r="E19" s="23" t="s">
        <v>99</v>
      </c>
      <c r="F19" s="29" t="s">
        <v>251</v>
      </c>
      <c r="G19" s="24">
        <v>0</v>
      </c>
      <c r="H19" s="24">
        <v>0</v>
      </c>
      <c r="I19" s="24">
        <v>0</v>
      </c>
      <c r="J19" s="24">
        <v>0</v>
      </c>
      <c r="K19" s="24">
        <v>0</v>
      </c>
      <c r="L19" s="25">
        <f t="shared" si="0"/>
        <v>0</v>
      </c>
      <c r="M19" s="8" t="str">
        <f t="shared" si="1"/>
        <v>개발 예정</v>
      </c>
      <c r="N19" s="26" t="s">
        <v>308</v>
      </c>
      <c r="O19" s="27"/>
      <c r="P19" s="27"/>
      <c r="Q19" s="31"/>
      <c r="R19" s="31"/>
      <c r="S19" s="27"/>
      <c r="T19" s="27"/>
      <c r="U19" s="27"/>
      <c r="V19" s="27"/>
    </row>
    <row r="20" spans="1:22" ht="62.4" x14ac:dyDescent="0.4">
      <c r="A20" s="22" t="s">
        <v>333</v>
      </c>
      <c r="B20" s="23" t="s">
        <v>334</v>
      </c>
      <c r="C20" s="23" t="s">
        <v>335</v>
      </c>
      <c r="D20" s="23" t="s">
        <v>336</v>
      </c>
      <c r="E20" s="23" t="s">
        <v>337</v>
      </c>
      <c r="F20" s="22" t="s">
        <v>250</v>
      </c>
      <c r="G20" s="24">
        <v>1</v>
      </c>
      <c r="H20" s="24">
        <v>1</v>
      </c>
      <c r="I20" s="24">
        <v>1</v>
      </c>
      <c r="J20" s="24">
        <v>0.5</v>
      </c>
      <c r="K20" s="24">
        <v>0</v>
      </c>
      <c r="L20" s="25">
        <f t="shared" si="0"/>
        <v>0.7</v>
      </c>
      <c r="M20" s="8" t="str">
        <f t="shared" si="1"/>
        <v>개발 완료</v>
      </c>
      <c r="N20" s="26" t="s">
        <v>338</v>
      </c>
      <c r="O20" s="27"/>
      <c r="P20" s="27"/>
      <c r="Q20" s="27"/>
      <c r="R20" s="27"/>
      <c r="S20" s="27"/>
      <c r="T20" s="27"/>
      <c r="U20" s="28"/>
      <c r="V20" s="28"/>
    </row>
    <row r="21" spans="1:22" ht="93.6" x14ac:dyDescent="0.4">
      <c r="A21" s="22" t="s">
        <v>339</v>
      </c>
      <c r="B21" s="23" t="s">
        <v>334</v>
      </c>
      <c r="C21" s="23" t="s">
        <v>340</v>
      </c>
      <c r="D21" s="23" t="s">
        <v>341</v>
      </c>
      <c r="E21" s="23" t="s">
        <v>216</v>
      </c>
      <c r="F21" s="22" t="s">
        <v>250</v>
      </c>
      <c r="G21" s="24">
        <v>1</v>
      </c>
      <c r="H21" s="24">
        <v>1</v>
      </c>
      <c r="I21" s="24">
        <v>1</v>
      </c>
      <c r="J21" s="24">
        <v>0</v>
      </c>
      <c r="K21" s="24">
        <v>0</v>
      </c>
      <c r="L21" s="25">
        <f t="shared" si="0"/>
        <v>0.6</v>
      </c>
      <c r="M21" s="8" t="str">
        <f t="shared" si="1"/>
        <v>개발 완료</v>
      </c>
      <c r="N21" s="26" t="s">
        <v>342</v>
      </c>
      <c r="O21" s="27"/>
      <c r="P21" s="27"/>
      <c r="Q21" s="27"/>
      <c r="R21" s="27"/>
      <c r="S21" s="27"/>
      <c r="T21" s="27"/>
      <c r="U21" s="28"/>
      <c r="V21" s="28"/>
    </row>
    <row r="22" spans="1:22" ht="46.8" x14ac:dyDescent="0.4">
      <c r="A22" s="22" t="s">
        <v>343</v>
      </c>
      <c r="B22" s="23" t="s">
        <v>334</v>
      </c>
      <c r="C22" s="23" t="s">
        <v>344</v>
      </c>
      <c r="D22" s="23" t="s">
        <v>345</v>
      </c>
      <c r="E22" s="23" t="s">
        <v>346</v>
      </c>
      <c r="F22" s="22" t="s">
        <v>250</v>
      </c>
      <c r="G22" s="24">
        <v>1</v>
      </c>
      <c r="H22" s="24">
        <v>1</v>
      </c>
      <c r="I22" s="24">
        <v>1</v>
      </c>
      <c r="J22" s="24">
        <v>1</v>
      </c>
      <c r="K22" s="24">
        <v>0</v>
      </c>
      <c r="L22" s="25">
        <f t="shared" si="0"/>
        <v>0.8</v>
      </c>
      <c r="M22" s="8" t="str">
        <f t="shared" si="1"/>
        <v>개발 완료</v>
      </c>
      <c r="N22" s="26" t="s">
        <v>347</v>
      </c>
      <c r="O22" s="27"/>
      <c r="P22" s="27"/>
      <c r="Q22" s="27"/>
      <c r="R22" s="27"/>
      <c r="S22" s="27"/>
      <c r="T22" s="27"/>
      <c r="U22" s="28"/>
      <c r="V22" s="28"/>
    </row>
    <row r="23" spans="1:22" ht="62.4" x14ac:dyDescent="0.4">
      <c r="A23" s="22" t="s">
        <v>348</v>
      </c>
      <c r="B23" s="23" t="s">
        <v>334</v>
      </c>
      <c r="C23" s="23" t="s">
        <v>349</v>
      </c>
      <c r="D23" s="23" t="s">
        <v>350</v>
      </c>
      <c r="E23" s="23" t="s">
        <v>351</v>
      </c>
      <c r="F23" s="22" t="s">
        <v>250</v>
      </c>
      <c r="G23" s="24">
        <v>1</v>
      </c>
      <c r="H23" s="24">
        <v>1</v>
      </c>
      <c r="I23" s="24">
        <v>1</v>
      </c>
      <c r="J23" s="24">
        <v>0.5</v>
      </c>
      <c r="K23" s="24">
        <v>0</v>
      </c>
      <c r="L23" s="25">
        <f t="shared" si="0"/>
        <v>0.7</v>
      </c>
      <c r="M23" s="8" t="str">
        <f t="shared" si="1"/>
        <v>개발 완료</v>
      </c>
      <c r="N23" s="26" t="s">
        <v>352</v>
      </c>
      <c r="O23" s="27"/>
      <c r="P23" s="27"/>
      <c r="Q23" s="27"/>
      <c r="R23" s="27"/>
      <c r="S23" s="27"/>
      <c r="T23" s="27"/>
      <c r="U23" s="28"/>
      <c r="V23" s="28"/>
    </row>
    <row r="24" spans="1:22" ht="31.2" x14ac:dyDescent="0.4">
      <c r="A24" s="29" t="s">
        <v>353</v>
      </c>
      <c r="B24" s="30" t="s">
        <v>334</v>
      </c>
      <c r="C24" s="30" t="s">
        <v>354</v>
      </c>
      <c r="D24" s="23" t="s">
        <v>355</v>
      </c>
      <c r="E24" s="23" t="s">
        <v>356</v>
      </c>
      <c r="F24" s="29" t="s">
        <v>251</v>
      </c>
      <c r="G24" s="24">
        <v>0</v>
      </c>
      <c r="H24" s="24">
        <v>0</v>
      </c>
      <c r="I24" s="24">
        <v>0</v>
      </c>
      <c r="J24" s="24">
        <v>0</v>
      </c>
      <c r="K24" s="24">
        <v>0</v>
      </c>
      <c r="L24" s="25">
        <f t="shared" si="0"/>
        <v>0</v>
      </c>
      <c r="M24" s="8" t="str">
        <f t="shared" si="1"/>
        <v>개발 예정</v>
      </c>
      <c r="N24" s="26" t="s">
        <v>308</v>
      </c>
      <c r="O24" s="31"/>
      <c r="P24" s="31"/>
      <c r="Q24" s="27"/>
      <c r="R24" s="27"/>
      <c r="S24" s="27"/>
      <c r="T24" s="27"/>
      <c r="U24" s="27"/>
      <c r="V24" s="27"/>
    </row>
    <row r="25" spans="1:22" ht="31.2" x14ac:dyDescent="0.4">
      <c r="A25" s="29" t="s">
        <v>357</v>
      </c>
      <c r="B25" s="30" t="s">
        <v>334</v>
      </c>
      <c r="C25" s="30" t="s">
        <v>358</v>
      </c>
      <c r="D25" s="23" t="s">
        <v>359</v>
      </c>
      <c r="E25" s="23" t="s">
        <v>156</v>
      </c>
      <c r="F25" s="29" t="s">
        <v>251</v>
      </c>
      <c r="G25" s="24">
        <v>0</v>
      </c>
      <c r="H25" s="24">
        <v>0</v>
      </c>
      <c r="I25" s="24">
        <v>0</v>
      </c>
      <c r="J25" s="24">
        <v>0</v>
      </c>
      <c r="K25" s="24">
        <v>0</v>
      </c>
      <c r="L25" s="25">
        <f t="shared" si="0"/>
        <v>0</v>
      </c>
      <c r="M25" s="8" t="str">
        <f t="shared" si="1"/>
        <v>개발 예정</v>
      </c>
      <c r="N25" s="26" t="s">
        <v>308</v>
      </c>
      <c r="O25" s="27"/>
      <c r="P25" s="27"/>
      <c r="Q25" s="31"/>
      <c r="R25" s="31"/>
      <c r="S25" s="27"/>
      <c r="T25" s="27"/>
      <c r="U25" s="27"/>
      <c r="V25" s="27"/>
    </row>
    <row r="26" spans="1:22" x14ac:dyDescent="0.4">
      <c r="A26" s="29" t="s">
        <v>360</v>
      </c>
      <c r="B26" s="30" t="s">
        <v>334</v>
      </c>
      <c r="C26" s="30" t="s">
        <v>361</v>
      </c>
      <c r="D26" s="23" t="s">
        <v>362</v>
      </c>
      <c r="E26" s="23" t="s">
        <v>159</v>
      </c>
      <c r="F26" s="29" t="s">
        <v>251</v>
      </c>
      <c r="G26" s="24">
        <v>0</v>
      </c>
      <c r="H26" s="24">
        <v>0</v>
      </c>
      <c r="I26" s="24">
        <v>0</v>
      </c>
      <c r="J26" s="24">
        <v>0</v>
      </c>
      <c r="K26" s="24">
        <v>0</v>
      </c>
      <c r="L26" s="25">
        <f t="shared" si="0"/>
        <v>0</v>
      </c>
      <c r="M26" s="8" t="str">
        <f t="shared" si="1"/>
        <v>개발 예정</v>
      </c>
      <c r="N26" s="26" t="s">
        <v>308</v>
      </c>
      <c r="O26" s="27"/>
      <c r="P26" s="27"/>
      <c r="Q26" s="27"/>
      <c r="R26" s="31"/>
      <c r="S26" s="27"/>
      <c r="T26" s="27"/>
      <c r="U26" s="27"/>
      <c r="V26" s="27"/>
    </row>
    <row r="27" spans="1:22" x14ac:dyDescent="0.4">
      <c r="A27" s="29" t="s">
        <v>363</v>
      </c>
      <c r="B27" s="30" t="s">
        <v>334</v>
      </c>
      <c r="C27" s="30" t="s">
        <v>364</v>
      </c>
      <c r="D27" s="23" t="s">
        <v>365</v>
      </c>
      <c r="E27" s="23" t="s">
        <v>60</v>
      </c>
      <c r="F27" s="29" t="s">
        <v>251</v>
      </c>
      <c r="G27" s="24">
        <v>0</v>
      </c>
      <c r="H27" s="24">
        <v>0</v>
      </c>
      <c r="I27" s="24">
        <v>0</v>
      </c>
      <c r="J27" s="24">
        <v>0</v>
      </c>
      <c r="K27" s="24">
        <v>0</v>
      </c>
      <c r="L27" s="25">
        <f t="shared" si="0"/>
        <v>0</v>
      </c>
      <c r="M27" s="8" t="str">
        <f t="shared" si="1"/>
        <v>개발 예정</v>
      </c>
      <c r="N27" s="26" t="s">
        <v>308</v>
      </c>
      <c r="O27" s="27"/>
      <c r="P27" s="31"/>
      <c r="Q27" s="27"/>
      <c r="R27" s="27"/>
      <c r="S27" s="27"/>
      <c r="T27" s="27"/>
      <c r="U27" s="27"/>
      <c r="V27" s="27"/>
    </row>
    <row r="28" spans="1:22" ht="46.8" x14ac:dyDescent="0.4">
      <c r="A28" s="22" t="s">
        <v>366</v>
      </c>
      <c r="B28" s="23" t="s">
        <v>367</v>
      </c>
      <c r="C28" s="23" t="s">
        <v>368</v>
      </c>
      <c r="D28" s="23" t="s">
        <v>369</v>
      </c>
      <c r="E28" s="23" t="s">
        <v>370</v>
      </c>
      <c r="F28" s="22" t="s">
        <v>250</v>
      </c>
      <c r="G28" s="24">
        <v>1</v>
      </c>
      <c r="H28" s="24">
        <v>1</v>
      </c>
      <c r="I28" s="24">
        <v>1</v>
      </c>
      <c r="J28" s="24">
        <v>0</v>
      </c>
      <c r="K28" s="24">
        <v>0</v>
      </c>
      <c r="L28" s="25">
        <f t="shared" si="0"/>
        <v>0.6</v>
      </c>
      <c r="M28" s="8" t="str">
        <f t="shared" si="1"/>
        <v>개발 완료</v>
      </c>
      <c r="N28" s="26" t="s">
        <v>371</v>
      </c>
      <c r="O28" s="27"/>
      <c r="P28" s="27"/>
      <c r="Q28" s="27"/>
      <c r="R28" s="27"/>
      <c r="S28" s="27"/>
      <c r="T28" s="27"/>
      <c r="U28" s="28"/>
      <c r="V28" s="28"/>
    </row>
    <row r="29" spans="1:22" ht="46.8" x14ac:dyDescent="0.4">
      <c r="A29" s="22" t="s">
        <v>372</v>
      </c>
      <c r="B29" s="23" t="s">
        <v>367</v>
      </c>
      <c r="C29" s="23" t="s">
        <v>373</v>
      </c>
      <c r="D29" s="23" t="s">
        <v>374</v>
      </c>
      <c r="E29" s="23" t="s">
        <v>375</v>
      </c>
      <c r="F29" s="22" t="s">
        <v>250</v>
      </c>
      <c r="G29" s="24">
        <v>1</v>
      </c>
      <c r="H29" s="24">
        <v>1</v>
      </c>
      <c r="I29" s="24">
        <v>1</v>
      </c>
      <c r="J29" s="24">
        <v>0.5</v>
      </c>
      <c r="K29" s="24">
        <v>0</v>
      </c>
      <c r="L29" s="25">
        <f t="shared" si="0"/>
        <v>0.7</v>
      </c>
      <c r="M29" s="8" t="str">
        <f t="shared" si="1"/>
        <v>개발 완료</v>
      </c>
      <c r="N29" s="26" t="s">
        <v>376</v>
      </c>
      <c r="O29" s="27"/>
      <c r="P29" s="27"/>
      <c r="Q29" s="27"/>
      <c r="R29" s="27"/>
      <c r="S29" s="27"/>
      <c r="T29" s="27"/>
      <c r="U29" s="28"/>
      <c r="V29" s="28"/>
    </row>
    <row r="30" spans="1:22" ht="62.4" x14ac:dyDescent="0.4">
      <c r="A30" s="22" t="s">
        <v>377</v>
      </c>
      <c r="B30" s="23" t="s">
        <v>367</v>
      </c>
      <c r="C30" s="23" t="s">
        <v>378</v>
      </c>
      <c r="D30" s="23" t="s">
        <v>379</v>
      </c>
      <c r="E30" s="23" t="s">
        <v>380</v>
      </c>
      <c r="F30" s="22" t="s">
        <v>250</v>
      </c>
      <c r="G30" s="24">
        <v>1</v>
      </c>
      <c r="H30" s="24">
        <v>1</v>
      </c>
      <c r="I30" s="24">
        <v>1</v>
      </c>
      <c r="J30" s="24">
        <v>0</v>
      </c>
      <c r="K30" s="24">
        <v>0</v>
      </c>
      <c r="L30" s="25">
        <f t="shared" si="0"/>
        <v>0.6</v>
      </c>
      <c r="M30" s="8" t="str">
        <f t="shared" si="1"/>
        <v>개발 완료</v>
      </c>
      <c r="N30" s="26" t="s">
        <v>381</v>
      </c>
      <c r="O30" s="27"/>
      <c r="P30" s="27"/>
      <c r="Q30" s="27"/>
      <c r="R30" s="27"/>
      <c r="S30" s="27"/>
      <c r="T30" s="27"/>
      <c r="U30" s="28"/>
      <c r="V30" s="28"/>
    </row>
    <row r="31" spans="1:22" ht="62.4" x14ac:dyDescent="0.4">
      <c r="A31" s="22" t="s">
        <v>382</v>
      </c>
      <c r="B31" s="23" t="s">
        <v>367</v>
      </c>
      <c r="C31" s="23" t="s">
        <v>383</v>
      </c>
      <c r="D31" s="23" t="s">
        <v>384</v>
      </c>
      <c r="E31" s="23" t="s">
        <v>385</v>
      </c>
      <c r="F31" s="22" t="s">
        <v>250</v>
      </c>
      <c r="G31" s="24">
        <v>1</v>
      </c>
      <c r="H31" s="24">
        <v>1</v>
      </c>
      <c r="I31" s="24">
        <v>1</v>
      </c>
      <c r="J31" s="24">
        <v>0</v>
      </c>
      <c r="K31" s="24">
        <v>0</v>
      </c>
      <c r="L31" s="25">
        <f t="shared" si="0"/>
        <v>0.6</v>
      </c>
      <c r="M31" s="8" t="str">
        <f t="shared" si="1"/>
        <v>개발 완료</v>
      </c>
      <c r="N31" s="26" t="s">
        <v>386</v>
      </c>
      <c r="O31" s="27"/>
      <c r="P31" s="27"/>
      <c r="Q31" s="27"/>
      <c r="R31" s="27"/>
      <c r="S31" s="27"/>
      <c r="T31" s="27"/>
      <c r="U31" s="28"/>
      <c r="V31" s="28"/>
    </row>
    <row r="32" spans="1:22" ht="31.2" x14ac:dyDescent="0.4">
      <c r="A32" s="29" t="s">
        <v>387</v>
      </c>
      <c r="B32" s="30" t="s">
        <v>367</v>
      </c>
      <c r="C32" s="30" t="s">
        <v>388</v>
      </c>
      <c r="D32" s="23" t="s">
        <v>389</v>
      </c>
      <c r="E32" s="23" t="s">
        <v>144</v>
      </c>
      <c r="F32" s="29" t="s">
        <v>251</v>
      </c>
      <c r="G32" s="24">
        <v>0</v>
      </c>
      <c r="H32" s="24">
        <v>0</v>
      </c>
      <c r="I32" s="24">
        <v>0</v>
      </c>
      <c r="J32" s="24">
        <v>0</v>
      </c>
      <c r="K32" s="24">
        <v>0</v>
      </c>
      <c r="L32" s="25">
        <f t="shared" si="0"/>
        <v>0</v>
      </c>
      <c r="M32" s="8" t="str">
        <f t="shared" si="1"/>
        <v>개발 예정</v>
      </c>
      <c r="N32" s="26" t="s">
        <v>308</v>
      </c>
      <c r="O32" s="27"/>
      <c r="P32" s="27"/>
      <c r="Q32" s="31"/>
      <c r="R32" s="31"/>
      <c r="S32" s="27"/>
      <c r="T32" s="27"/>
      <c r="U32" s="27"/>
      <c r="V32" s="27"/>
    </row>
    <row r="33" spans="1:22" ht="31.2" x14ac:dyDescent="0.4">
      <c r="A33" s="29" t="s">
        <v>390</v>
      </c>
      <c r="B33" s="30" t="s">
        <v>367</v>
      </c>
      <c r="C33" s="30" t="s">
        <v>391</v>
      </c>
      <c r="D33" s="23" t="s">
        <v>392</v>
      </c>
      <c r="E33" s="23" t="s">
        <v>148</v>
      </c>
      <c r="F33" s="29" t="s">
        <v>251</v>
      </c>
      <c r="G33" s="24">
        <v>0</v>
      </c>
      <c r="H33" s="24">
        <v>0</v>
      </c>
      <c r="I33" s="24">
        <v>0</v>
      </c>
      <c r="J33" s="24">
        <v>0</v>
      </c>
      <c r="K33" s="24">
        <v>0</v>
      </c>
      <c r="L33" s="25">
        <f t="shared" si="0"/>
        <v>0</v>
      </c>
      <c r="M33" s="8" t="str">
        <f t="shared" si="1"/>
        <v>개발 예정</v>
      </c>
      <c r="N33" s="26" t="s">
        <v>308</v>
      </c>
      <c r="O33" s="27"/>
      <c r="P33" s="27"/>
      <c r="Q33" s="31"/>
      <c r="R33" s="31"/>
      <c r="S33" s="27"/>
      <c r="T33" s="27"/>
      <c r="U33" s="27"/>
      <c r="V33" s="27"/>
    </row>
    <row r="34" spans="1:22" ht="31.2" x14ac:dyDescent="0.4">
      <c r="A34" s="29" t="s">
        <v>393</v>
      </c>
      <c r="B34" s="30" t="s">
        <v>367</v>
      </c>
      <c r="C34" s="30" t="s">
        <v>394</v>
      </c>
      <c r="D34" s="23" t="s">
        <v>395</v>
      </c>
      <c r="E34" s="23" t="s">
        <v>152</v>
      </c>
      <c r="F34" s="29" t="s">
        <v>251</v>
      </c>
      <c r="G34" s="24">
        <v>0</v>
      </c>
      <c r="H34" s="24">
        <v>0</v>
      </c>
      <c r="I34" s="24">
        <v>0</v>
      </c>
      <c r="J34" s="24">
        <v>0</v>
      </c>
      <c r="K34" s="24">
        <v>0</v>
      </c>
      <c r="L34" s="25">
        <f t="shared" si="0"/>
        <v>0</v>
      </c>
      <c r="M34" s="8" t="str">
        <f t="shared" si="1"/>
        <v>개발 예정</v>
      </c>
      <c r="N34" s="26" t="s">
        <v>308</v>
      </c>
      <c r="O34" s="27"/>
      <c r="P34" s="27"/>
      <c r="Q34" s="27"/>
      <c r="R34" s="31"/>
      <c r="S34" s="31"/>
      <c r="T34" s="27"/>
      <c r="U34" s="27"/>
      <c r="V34" s="27"/>
    </row>
    <row r="35" spans="1:22" ht="46.8" x14ac:dyDescent="0.4">
      <c r="A35" s="22" t="s">
        <v>396</v>
      </c>
      <c r="B35" s="23" t="s">
        <v>397</v>
      </c>
      <c r="C35" s="23" t="s">
        <v>398</v>
      </c>
      <c r="D35" s="23" t="s">
        <v>399</v>
      </c>
      <c r="E35" s="23" t="s">
        <v>400</v>
      </c>
      <c r="F35" s="22" t="s">
        <v>250</v>
      </c>
      <c r="G35" s="24">
        <v>1</v>
      </c>
      <c r="H35" s="24">
        <v>1</v>
      </c>
      <c r="I35" s="24">
        <v>1</v>
      </c>
      <c r="J35" s="24">
        <v>0.5</v>
      </c>
      <c r="K35" s="24">
        <v>0</v>
      </c>
      <c r="L35" s="25">
        <f t="shared" si="0"/>
        <v>0.7</v>
      </c>
      <c r="M35" s="8" t="str">
        <f t="shared" si="1"/>
        <v>개발 완료</v>
      </c>
      <c r="N35" s="26" t="s">
        <v>401</v>
      </c>
      <c r="O35" s="27"/>
      <c r="P35" s="27"/>
      <c r="Q35" s="27"/>
      <c r="R35" s="27"/>
      <c r="S35" s="27"/>
      <c r="T35" s="27"/>
      <c r="U35" s="28"/>
      <c r="V35" s="28"/>
    </row>
    <row r="36" spans="1:22" ht="93.6" x14ac:dyDescent="0.4">
      <c r="A36" s="22" t="s">
        <v>402</v>
      </c>
      <c r="B36" s="23" t="s">
        <v>397</v>
      </c>
      <c r="C36" s="23" t="s">
        <v>403</v>
      </c>
      <c r="D36" s="23" t="s">
        <v>404</v>
      </c>
      <c r="E36" s="23" t="s">
        <v>405</v>
      </c>
      <c r="F36" s="22" t="s">
        <v>250</v>
      </c>
      <c r="G36" s="24">
        <v>0.5</v>
      </c>
      <c r="H36" s="24">
        <v>0</v>
      </c>
      <c r="I36" s="24">
        <v>0.5</v>
      </c>
      <c r="J36" s="24">
        <v>0</v>
      </c>
      <c r="K36" s="24">
        <v>0</v>
      </c>
      <c r="L36" s="25">
        <f t="shared" si="0"/>
        <v>0.2</v>
      </c>
      <c r="M36" s="8" t="str">
        <f t="shared" si="1"/>
        <v>일부 개발</v>
      </c>
      <c r="N36" s="26" t="s">
        <v>406</v>
      </c>
      <c r="O36" s="27"/>
      <c r="P36" s="27"/>
      <c r="Q36" s="27"/>
      <c r="R36" s="27"/>
      <c r="S36" s="27"/>
      <c r="T36" s="27"/>
      <c r="U36" s="28"/>
      <c r="V36" s="28"/>
    </row>
    <row r="37" spans="1:22" ht="78" x14ac:dyDescent="0.4">
      <c r="A37" s="22" t="s">
        <v>407</v>
      </c>
      <c r="B37" s="23" t="s">
        <v>397</v>
      </c>
      <c r="C37" s="23" t="s">
        <v>408</v>
      </c>
      <c r="D37" s="23" t="s">
        <v>409</v>
      </c>
      <c r="E37" s="23" t="s">
        <v>410</v>
      </c>
      <c r="F37" s="22" t="s">
        <v>250</v>
      </c>
      <c r="G37" s="24">
        <v>1</v>
      </c>
      <c r="H37" s="24">
        <v>1</v>
      </c>
      <c r="I37" s="24">
        <v>1</v>
      </c>
      <c r="J37" s="24">
        <v>0.5</v>
      </c>
      <c r="K37" s="24">
        <v>0</v>
      </c>
      <c r="L37" s="25">
        <f t="shared" si="0"/>
        <v>0.7</v>
      </c>
      <c r="M37" s="8" t="str">
        <f t="shared" si="1"/>
        <v>개발 완료</v>
      </c>
      <c r="N37" s="26" t="s">
        <v>411</v>
      </c>
      <c r="O37" s="27"/>
      <c r="P37" s="27"/>
      <c r="Q37" s="27"/>
      <c r="R37" s="27"/>
      <c r="S37" s="27"/>
      <c r="T37" s="27"/>
      <c r="U37" s="28"/>
      <c r="V37" s="28"/>
    </row>
    <row r="38" spans="1:22" ht="62.4" x14ac:dyDescent="0.4">
      <c r="A38" s="22" t="s">
        <v>412</v>
      </c>
      <c r="B38" s="23" t="s">
        <v>397</v>
      </c>
      <c r="C38" s="23" t="s">
        <v>413</v>
      </c>
      <c r="D38" s="23" t="s">
        <v>414</v>
      </c>
      <c r="E38" s="23" t="s">
        <v>400</v>
      </c>
      <c r="F38" s="22" t="s">
        <v>250</v>
      </c>
      <c r="G38" s="24">
        <v>1</v>
      </c>
      <c r="H38" s="24">
        <v>0</v>
      </c>
      <c r="I38" s="24">
        <v>0</v>
      </c>
      <c r="J38" s="24">
        <v>0.5</v>
      </c>
      <c r="K38" s="24">
        <v>0</v>
      </c>
      <c r="L38" s="25">
        <f t="shared" si="0"/>
        <v>0.3</v>
      </c>
      <c r="M38" s="8" t="str">
        <f t="shared" si="1"/>
        <v>개발 완료</v>
      </c>
      <c r="N38" s="26" t="s">
        <v>415</v>
      </c>
      <c r="O38" s="27"/>
      <c r="P38" s="27"/>
      <c r="Q38" s="27"/>
      <c r="R38" s="27"/>
      <c r="S38" s="27"/>
      <c r="T38" s="27"/>
      <c r="U38" s="28"/>
      <c r="V38" s="28"/>
    </row>
    <row r="39" spans="1:22" ht="62.4" x14ac:dyDescent="0.4">
      <c r="A39" s="22" t="s">
        <v>416</v>
      </c>
      <c r="B39" s="23" t="s">
        <v>417</v>
      </c>
      <c r="C39" s="23" t="s">
        <v>418</v>
      </c>
      <c r="D39" s="23" t="s">
        <v>419</v>
      </c>
      <c r="E39" s="23" t="s">
        <v>171</v>
      </c>
      <c r="F39" s="22" t="s">
        <v>250</v>
      </c>
      <c r="G39" s="24">
        <v>0.5</v>
      </c>
      <c r="H39" s="24">
        <v>0.5</v>
      </c>
      <c r="I39" s="24">
        <v>1</v>
      </c>
      <c r="J39" s="24">
        <v>0</v>
      </c>
      <c r="K39" s="24">
        <v>0</v>
      </c>
      <c r="L39" s="25">
        <f t="shared" si="0"/>
        <v>0.4</v>
      </c>
      <c r="M39" s="8" t="str">
        <f t="shared" si="1"/>
        <v>일부 개발</v>
      </c>
      <c r="N39" s="26" t="s">
        <v>420</v>
      </c>
      <c r="O39" s="27"/>
      <c r="P39" s="27"/>
      <c r="Q39" s="27"/>
      <c r="R39" s="27"/>
      <c r="S39" s="27"/>
      <c r="T39" s="27"/>
      <c r="U39" s="28"/>
      <c r="V39" s="28"/>
    </row>
    <row r="40" spans="1:22" ht="62.4" x14ac:dyDescent="0.4">
      <c r="A40" s="22" t="s">
        <v>421</v>
      </c>
      <c r="B40" s="23" t="s">
        <v>417</v>
      </c>
      <c r="C40" s="23" t="s">
        <v>422</v>
      </c>
      <c r="D40" s="23" t="s">
        <v>423</v>
      </c>
      <c r="E40" s="23" t="s">
        <v>171</v>
      </c>
      <c r="F40" s="22" t="s">
        <v>250</v>
      </c>
      <c r="G40" s="24">
        <v>1</v>
      </c>
      <c r="H40" s="24">
        <v>1</v>
      </c>
      <c r="I40" s="24">
        <v>1</v>
      </c>
      <c r="J40" s="24">
        <v>0.5</v>
      </c>
      <c r="K40" s="24">
        <v>0</v>
      </c>
      <c r="L40" s="25">
        <f t="shared" si="0"/>
        <v>0.7</v>
      </c>
      <c r="M40" s="8" t="str">
        <f t="shared" si="1"/>
        <v>개발 완료</v>
      </c>
      <c r="N40" s="26" t="s">
        <v>424</v>
      </c>
      <c r="O40" s="27"/>
      <c r="P40" s="27"/>
      <c r="Q40" s="27"/>
      <c r="R40" s="27"/>
      <c r="S40" s="27"/>
      <c r="T40" s="27"/>
      <c r="U40" s="28"/>
      <c r="V40" s="28"/>
    </row>
    <row r="41" spans="1:22" ht="109.2" x14ac:dyDescent="0.4">
      <c r="A41" s="22" t="s">
        <v>425</v>
      </c>
      <c r="B41" s="23" t="s">
        <v>417</v>
      </c>
      <c r="C41" s="23" t="s">
        <v>426</v>
      </c>
      <c r="D41" s="23" t="s">
        <v>427</v>
      </c>
      <c r="E41" s="23" t="s">
        <v>184</v>
      </c>
      <c r="F41" s="22" t="s">
        <v>250</v>
      </c>
      <c r="G41" s="24">
        <v>1</v>
      </c>
      <c r="H41" s="24">
        <v>1</v>
      </c>
      <c r="I41" s="24">
        <v>1</v>
      </c>
      <c r="J41" s="24">
        <v>0.5</v>
      </c>
      <c r="K41" s="24">
        <v>0</v>
      </c>
      <c r="L41" s="25">
        <f t="shared" ref="L41:L72" si="2">AVERAGE(G41:K41)</f>
        <v>0.7</v>
      </c>
      <c r="M41" s="8" t="str">
        <f t="shared" ref="M41:M72" si="3">IF(G41=0,"개발 예정",IF(G41&lt;1,"일부 개발",IF(L41=1,"검수 완료","개발 완료")))</f>
        <v>개발 완료</v>
      </c>
      <c r="N41" s="26" t="s">
        <v>428</v>
      </c>
      <c r="O41" s="27"/>
      <c r="P41" s="27"/>
      <c r="Q41" s="27"/>
      <c r="R41" s="27"/>
      <c r="S41" s="27"/>
      <c r="T41" s="27"/>
      <c r="U41" s="28"/>
      <c r="V41" s="28"/>
    </row>
    <row r="42" spans="1:22" ht="62.4" x14ac:dyDescent="0.4">
      <c r="A42" s="22" t="s">
        <v>429</v>
      </c>
      <c r="B42" s="23" t="s">
        <v>417</v>
      </c>
      <c r="C42" s="23" t="s">
        <v>430</v>
      </c>
      <c r="D42" s="23" t="s">
        <v>431</v>
      </c>
      <c r="E42" s="23" t="s">
        <v>171</v>
      </c>
      <c r="F42" s="22" t="s">
        <v>250</v>
      </c>
      <c r="G42" s="24">
        <v>1</v>
      </c>
      <c r="H42" s="24">
        <v>1</v>
      </c>
      <c r="I42" s="24">
        <v>1</v>
      </c>
      <c r="J42" s="24">
        <v>0.5</v>
      </c>
      <c r="K42" s="24">
        <v>0</v>
      </c>
      <c r="L42" s="25">
        <f t="shared" si="2"/>
        <v>0.7</v>
      </c>
      <c r="M42" s="8" t="str">
        <f t="shared" si="3"/>
        <v>개발 완료</v>
      </c>
      <c r="N42" s="26" t="s">
        <v>432</v>
      </c>
      <c r="O42" s="27"/>
      <c r="P42" s="27"/>
      <c r="Q42" s="27"/>
      <c r="R42" s="27"/>
      <c r="S42" s="27"/>
      <c r="T42" s="27"/>
      <c r="U42" s="28"/>
      <c r="V42" s="28"/>
    </row>
    <row r="43" spans="1:22" x14ac:dyDescent="0.4">
      <c r="A43" s="29" t="s">
        <v>433</v>
      </c>
      <c r="B43" s="30" t="s">
        <v>417</v>
      </c>
      <c r="C43" s="30" t="s">
        <v>434</v>
      </c>
      <c r="D43" s="23" t="s">
        <v>435</v>
      </c>
      <c r="E43" s="23" t="s">
        <v>184</v>
      </c>
      <c r="F43" s="29" t="s">
        <v>251</v>
      </c>
      <c r="G43" s="24">
        <v>0</v>
      </c>
      <c r="H43" s="24">
        <v>0</v>
      </c>
      <c r="I43" s="24">
        <v>0</v>
      </c>
      <c r="J43" s="24">
        <v>0</v>
      </c>
      <c r="K43" s="24">
        <v>0</v>
      </c>
      <c r="L43" s="25">
        <f t="shared" si="2"/>
        <v>0</v>
      </c>
      <c r="M43" s="8" t="str">
        <f t="shared" si="3"/>
        <v>개발 예정</v>
      </c>
      <c r="N43" s="26" t="s">
        <v>308</v>
      </c>
      <c r="O43" s="27"/>
      <c r="P43" s="27"/>
      <c r="Q43" s="27"/>
      <c r="R43" s="27"/>
      <c r="S43" s="31"/>
      <c r="T43" s="31"/>
      <c r="U43" s="27"/>
      <c r="V43" s="27"/>
    </row>
    <row r="44" spans="1:22" ht="62.4" x14ac:dyDescent="0.4">
      <c r="A44" s="22" t="s">
        <v>436</v>
      </c>
      <c r="B44" s="23" t="s">
        <v>437</v>
      </c>
      <c r="C44" s="23" t="s">
        <v>438</v>
      </c>
      <c r="D44" s="23" t="s">
        <v>439</v>
      </c>
      <c r="E44" s="23" t="s">
        <v>440</v>
      </c>
      <c r="F44" s="22" t="s">
        <v>250</v>
      </c>
      <c r="G44" s="24">
        <v>1</v>
      </c>
      <c r="H44" s="24">
        <v>1</v>
      </c>
      <c r="I44" s="24">
        <v>1</v>
      </c>
      <c r="J44" s="24">
        <v>0</v>
      </c>
      <c r="K44" s="24">
        <v>0</v>
      </c>
      <c r="L44" s="25">
        <f t="shared" si="2"/>
        <v>0.6</v>
      </c>
      <c r="M44" s="8" t="str">
        <f t="shared" si="3"/>
        <v>개발 완료</v>
      </c>
      <c r="N44" s="26" t="s">
        <v>441</v>
      </c>
      <c r="O44" s="27"/>
      <c r="P44" s="27"/>
      <c r="Q44" s="27"/>
      <c r="R44" s="27"/>
      <c r="S44" s="27"/>
      <c r="T44" s="27"/>
      <c r="U44" s="28"/>
      <c r="V44" s="28"/>
    </row>
    <row r="45" spans="1:22" ht="46.8" x14ac:dyDescent="0.4">
      <c r="A45" s="22" t="s">
        <v>442</v>
      </c>
      <c r="B45" s="23" t="s">
        <v>437</v>
      </c>
      <c r="C45" s="23" t="s">
        <v>443</v>
      </c>
      <c r="D45" s="23" t="s">
        <v>444</v>
      </c>
      <c r="E45" s="23" t="s">
        <v>445</v>
      </c>
      <c r="F45" s="22" t="s">
        <v>250</v>
      </c>
      <c r="G45" s="24">
        <v>0.5</v>
      </c>
      <c r="H45" s="24">
        <v>1</v>
      </c>
      <c r="I45" s="24">
        <v>1</v>
      </c>
      <c r="J45" s="24">
        <v>0</v>
      </c>
      <c r="K45" s="24">
        <v>0</v>
      </c>
      <c r="L45" s="25">
        <f t="shared" si="2"/>
        <v>0.5</v>
      </c>
      <c r="M45" s="8" t="str">
        <f t="shared" si="3"/>
        <v>일부 개발</v>
      </c>
      <c r="N45" s="26" t="s">
        <v>446</v>
      </c>
      <c r="O45" s="27"/>
      <c r="P45" s="27"/>
      <c r="Q45" s="27"/>
      <c r="R45" s="27"/>
      <c r="S45" s="27"/>
      <c r="T45" s="27"/>
      <c r="U45" s="28"/>
      <c r="V45" s="28"/>
    </row>
    <row r="46" spans="1:22" ht="62.4" x14ac:dyDescent="0.4">
      <c r="A46" s="22" t="s">
        <v>447</v>
      </c>
      <c r="B46" s="23" t="s">
        <v>437</v>
      </c>
      <c r="C46" s="23" t="s">
        <v>448</v>
      </c>
      <c r="D46" s="23" t="s">
        <v>449</v>
      </c>
      <c r="E46" s="23" t="s">
        <v>450</v>
      </c>
      <c r="F46" s="22" t="s">
        <v>250</v>
      </c>
      <c r="G46" s="24">
        <v>1</v>
      </c>
      <c r="H46" s="24">
        <v>1</v>
      </c>
      <c r="I46" s="24">
        <v>1</v>
      </c>
      <c r="J46" s="24">
        <v>0</v>
      </c>
      <c r="K46" s="24">
        <v>0</v>
      </c>
      <c r="L46" s="25">
        <f t="shared" si="2"/>
        <v>0.6</v>
      </c>
      <c r="M46" s="8" t="str">
        <f t="shared" si="3"/>
        <v>개발 완료</v>
      </c>
      <c r="N46" s="26" t="s">
        <v>451</v>
      </c>
      <c r="O46" s="27"/>
      <c r="P46" s="27"/>
      <c r="Q46" s="27"/>
      <c r="R46" s="27"/>
      <c r="S46" s="27"/>
      <c r="T46" s="27"/>
      <c r="U46" s="28"/>
      <c r="V46" s="28"/>
    </row>
    <row r="47" spans="1:22" ht="62.4" x14ac:dyDescent="0.4">
      <c r="A47" s="22" t="s">
        <v>452</v>
      </c>
      <c r="B47" s="23" t="s">
        <v>437</v>
      </c>
      <c r="C47" s="23" t="s">
        <v>453</v>
      </c>
      <c r="D47" s="23" t="s">
        <v>454</v>
      </c>
      <c r="E47" s="23" t="s">
        <v>455</v>
      </c>
      <c r="F47" s="22" t="s">
        <v>250</v>
      </c>
      <c r="G47" s="24">
        <v>0.5</v>
      </c>
      <c r="H47" s="24">
        <v>0.5</v>
      </c>
      <c r="I47" s="24">
        <v>1</v>
      </c>
      <c r="J47" s="24">
        <v>0</v>
      </c>
      <c r="K47" s="24">
        <v>0</v>
      </c>
      <c r="L47" s="25">
        <f t="shared" si="2"/>
        <v>0.4</v>
      </c>
      <c r="M47" s="8" t="str">
        <f t="shared" si="3"/>
        <v>일부 개발</v>
      </c>
      <c r="N47" s="26" t="s">
        <v>456</v>
      </c>
      <c r="O47" s="27"/>
      <c r="P47" s="27"/>
      <c r="Q47" s="27"/>
      <c r="R47" s="27"/>
      <c r="S47" s="27"/>
      <c r="T47" s="27"/>
      <c r="U47" s="28"/>
      <c r="V47" s="28"/>
    </row>
    <row r="48" spans="1:22" ht="31.2" x14ac:dyDescent="0.4">
      <c r="A48" s="29" t="s">
        <v>457</v>
      </c>
      <c r="B48" s="30" t="s">
        <v>437</v>
      </c>
      <c r="C48" s="30" t="s">
        <v>458</v>
      </c>
      <c r="D48" s="23" t="s">
        <v>459</v>
      </c>
      <c r="E48" s="23" t="s">
        <v>187</v>
      </c>
      <c r="F48" s="29" t="s">
        <v>251</v>
      </c>
      <c r="G48" s="24">
        <v>0</v>
      </c>
      <c r="H48" s="24">
        <v>0</v>
      </c>
      <c r="I48" s="24">
        <v>0</v>
      </c>
      <c r="J48" s="24">
        <v>0</v>
      </c>
      <c r="K48" s="24">
        <v>0</v>
      </c>
      <c r="L48" s="25">
        <f t="shared" si="2"/>
        <v>0</v>
      </c>
      <c r="M48" s="8" t="str">
        <f t="shared" si="3"/>
        <v>개발 예정</v>
      </c>
      <c r="N48" s="26" t="s">
        <v>308</v>
      </c>
      <c r="O48" s="27"/>
      <c r="P48" s="27"/>
      <c r="Q48" s="27"/>
      <c r="R48" s="27"/>
      <c r="S48" s="31"/>
      <c r="T48" s="31"/>
      <c r="U48" s="27"/>
      <c r="V48" s="27"/>
    </row>
    <row r="49" spans="1:22" ht="31.2" x14ac:dyDescent="0.4">
      <c r="A49" s="29" t="s">
        <v>460</v>
      </c>
      <c r="B49" s="30" t="s">
        <v>437</v>
      </c>
      <c r="C49" s="30" t="s">
        <v>461</v>
      </c>
      <c r="D49" s="23" t="s">
        <v>462</v>
      </c>
      <c r="E49" s="23" t="s">
        <v>208</v>
      </c>
      <c r="F49" s="29" t="s">
        <v>251</v>
      </c>
      <c r="G49" s="24">
        <v>0</v>
      </c>
      <c r="H49" s="24">
        <v>0</v>
      </c>
      <c r="I49" s="24">
        <v>0</v>
      </c>
      <c r="J49" s="24">
        <v>0</v>
      </c>
      <c r="K49" s="24">
        <v>0</v>
      </c>
      <c r="L49" s="25">
        <f t="shared" si="2"/>
        <v>0</v>
      </c>
      <c r="M49" s="8" t="str">
        <f t="shared" si="3"/>
        <v>개발 예정</v>
      </c>
      <c r="N49" s="26" t="s">
        <v>308</v>
      </c>
      <c r="O49" s="27"/>
      <c r="P49" s="27"/>
      <c r="Q49" s="27"/>
      <c r="R49" s="27"/>
      <c r="S49" s="27"/>
      <c r="T49" s="31"/>
      <c r="U49" s="31"/>
      <c r="V49" s="27"/>
    </row>
    <row r="50" spans="1:22" ht="78" x14ac:dyDescent="0.4">
      <c r="A50" s="22" t="s">
        <v>463</v>
      </c>
      <c r="B50" s="23" t="s">
        <v>464</v>
      </c>
      <c r="C50" s="23" t="s">
        <v>465</v>
      </c>
      <c r="D50" s="23" t="s">
        <v>466</v>
      </c>
      <c r="E50" s="23" t="s">
        <v>18</v>
      </c>
      <c r="F50" s="22" t="s">
        <v>250</v>
      </c>
      <c r="G50" s="24">
        <v>1</v>
      </c>
      <c r="H50" s="24">
        <v>0</v>
      </c>
      <c r="I50" s="24">
        <v>1</v>
      </c>
      <c r="J50" s="24">
        <v>0.5</v>
      </c>
      <c r="K50" s="24">
        <v>0</v>
      </c>
      <c r="L50" s="25">
        <f t="shared" si="2"/>
        <v>0.5</v>
      </c>
      <c r="M50" s="8" t="str">
        <f t="shared" si="3"/>
        <v>개발 완료</v>
      </c>
      <c r="N50" s="26" t="s">
        <v>467</v>
      </c>
      <c r="O50" s="27"/>
      <c r="P50" s="27"/>
      <c r="Q50" s="27"/>
      <c r="R50" s="27"/>
      <c r="S50" s="27"/>
      <c r="T50" s="27"/>
      <c r="U50" s="28"/>
      <c r="V50" s="28"/>
    </row>
    <row r="51" spans="1:22" ht="62.4" x14ac:dyDescent="0.4">
      <c r="A51" s="22" t="s">
        <v>468</v>
      </c>
      <c r="B51" s="23" t="s">
        <v>464</v>
      </c>
      <c r="C51" s="23" t="s">
        <v>469</v>
      </c>
      <c r="D51" s="23" t="s">
        <v>470</v>
      </c>
      <c r="E51" s="23" t="s">
        <v>212</v>
      </c>
      <c r="F51" s="22" t="s">
        <v>250</v>
      </c>
      <c r="G51" s="24">
        <v>1</v>
      </c>
      <c r="H51" s="24">
        <v>0.5</v>
      </c>
      <c r="I51" s="24">
        <v>1</v>
      </c>
      <c r="J51" s="24">
        <v>0.5</v>
      </c>
      <c r="K51" s="24">
        <v>0</v>
      </c>
      <c r="L51" s="25">
        <f t="shared" si="2"/>
        <v>0.6</v>
      </c>
      <c r="M51" s="8" t="str">
        <f t="shared" si="3"/>
        <v>개발 완료</v>
      </c>
      <c r="N51" s="26" t="s">
        <v>471</v>
      </c>
      <c r="O51" s="27"/>
      <c r="P51" s="27"/>
      <c r="Q51" s="27"/>
      <c r="R51" s="27"/>
      <c r="S51" s="27"/>
      <c r="T51" s="27"/>
      <c r="U51" s="28"/>
      <c r="V51" s="28"/>
    </row>
    <row r="52" spans="1:22" ht="46.8" x14ac:dyDescent="0.4">
      <c r="A52" s="22" t="s">
        <v>472</v>
      </c>
      <c r="B52" s="23" t="s">
        <v>464</v>
      </c>
      <c r="C52" s="23" t="s">
        <v>473</v>
      </c>
      <c r="D52" s="23" t="s">
        <v>474</v>
      </c>
      <c r="E52" s="23" t="s">
        <v>475</v>
      </c>
      <c r="F52" s="22" t="s">
        <v>250</v>
      </c>
      <c r="G52" s="24">
        <v>1</v>
      </c>
      <c r="H52" s="24">
        <v>0.5</v>
      </c>
      <c r="I52" s="24">
        <v>1</v>
      </c>
      <c r="J52" s="24">
        <v>0</v>
      </c>
      <c r="K52" s="24">
        <v>0</v>
      </c>
      <c r="L52" s="25">
        <f t="shared" si="2"/>
        <v>0.5</v>
      </c>
      <c r="M52" s="8" t="str">
        <f t="shared" si="3"/>
        <v>개발 완료</v>
      </c>
      <c r="N52" s="26" t="s">
        <v>476</v>
      </c>
      <c r="O52" s="27"/>
      <c r="P52" s="27"/>
      <c r="Q52" s="27"/>
      <c r="R52" s="27"/>
      <c r="S52" s="27"/>
      <c r="T52" s="27"/>
      <c r="U52" s="28"/>
      <c r="V52" s="28"/>
    </row>
    <row r="53" spans="1:22" ht="78" x14ac:dyDescent="0.4">
      <c r="A53" s="22" t="s">
        <v>477</v>
      </c>
      <c r="B53" s="23" t="s">
        <v>464</v>
      </c>
      <c r="C53" s="23" t="s">
        <v>478</v>
      </c>
      <c r="D53" s="23" t="s">
        <v>479</v>
      </c>
      <c r="E53" s="23" t="s">
        <v>212</v>
      </c>
      <c r="F53" s="22" t="s">
        <v>250</v>
      </c>
      <c r="G53" s="24">
        <v>0.5</v>
      </c>
      <c r="H53" s="24">
        <v>0</v>
      </c>
      <c r="I53" s="24">
        <v>0</v>
      </c>
      <c r="J53" s="24">
        <v>0</v>
      </c>
      <c r="K53" s="24">
        <v>0</v>
      </c>
      <c r="L53" s="25">
        <f t="shared" si="2"/>
        <v>0.1</v>
      </c>
      <c r="M53" s="8" t="str">
        <f t="shared" si="3"/>
        <v>일부 개발</v>
      </c>
      <c r="N53" s="26" t="s">
        <v>480</v>
      </c>
      <c r="O53" s="27"/>
      <c r="P53" s="27"/>
      <c r="Q53" s="27"/>
      <c r="R53" s="27"/>
      <c r="S53" s="27"/>
      <c r="T53" s="27"/>
      <c r="U53" s="28"/>
      <c r="V53" s="28"/>
    </row>
    <row r="54" spans="1:22" ht="31.2" x14ac:dyDescent="0.4">
      <c r="A54" s="29" t="s">
        <v>481</v>
      </c>
      <c r="B54" s="30" t="s">
        <v>464</v>
      </c>
      <c r="C54" s="30" t="s">
        <v>482</v>
      </c>
      <c r="D54" s="23" t="s">
        <v>483</v>
      </c>
      <c r="E54" s="23" t="s">
        <v>139</v>
      </c>
      <c r="F54" s="29" t="s">
        <v>251</v>
      </c>
      <c r="G54" s="24">
        <v>0</v>
      </c>
      <c r="H54" s="24">
        <v>0</v>
      </c>
      <c r="I54" s="24">
        <v>0</v>
      </c>
      <c r="J54" s="24">
        <v>0</v>
      </c>
      <c r="K54" s="24">
        <v>0</v>
      </c>
      <c r="L54" s="25">
        <f t="shared" si="2"/>
        <v>0</v>
      </c>
      <c r="M54" s="8" t="str">
        <f t="shared" si="3"/>
        <v>개발 예정</v>
      </c>
      <c r="N54" s="26" t="s">
        <v>308</v>
      </c>
      <c r="O54" s="31"/>
      <c r="P54" s="31"/>
      <c r="Q54" s="27"/>
      <c r="R54" s="27"/>
      <c r="S54" s="27"/>
      <c r="T54" s="27"/>
      <c r="U54" s="27"/>
      <c r="V54" s="27"/>
    </row>
    <row r="55" spans="1:22" ht="62.4" x14ac:dyDescent="0.4">
      <c r="A55" s="22" t="s">
        <v>484</v>
      </c>
      <c r="B55" s="23" t="s">
        <v>485</v>
      </c>
      <c r="C55" s="23" t="s">
        <v>486</v>
      </c>
      <c r="D55" s="23" t="s">
        <v>487</v>
      </c>
      <c r="E55" s="23" t="s">
        <v>212</v>
      </c>
      <c r="F55" s="22" t="s">
        <v>250</v>
      </c>
      <c r="G55" s="24">
        <v>1</v>
      </c>
      <c r="H55" s="24">
        <v>1</v>
      </c>
      <c r="I55" s="24">
        <v>1</v>
      </c>
      <c r="J55" s="24">
        <v>0.5</v>
      </c>
      <c r="K55" s="24">
        <v>0</v>
      </c>
      <c r="L55" s="25">
        <f t="shared" si="2"/>
        <v>0.7</v>
      </c>
      <c r="M55" s="8" t="str">
        <f t="shared" si="3"/>
        <v>개발 완료</v>
      </c>
      <c r="N55" s="26" t="s">
        <v>488</v>
      </c>
      <c r="O55" s="27"/>
      <c r="P55" s="27"/>
      <c r="Q55" s="27"/>
      <c r="R55" s="27"/>
      <c r="S55" s="27"/>
      <c r="T55" s="27"/>
      <c r="U55" s="28"/>
      <c r="V55" s="28"/>
    </row>
    <row r="56" spans="1:22" ht="46.8" x14ac:dyDescent="0.4">
      <c r="A56" s="22" t="s">
        <v>489</v>
      </c>
      <c r="B56" s="23" t="s">
        <v>485</v>
      </c>
      <c r="C56" s="23" t="s">
        <v>490</v>
      </c>
      <c r="D56" s="23" t="s">
        <v>491</v>
      </c>
      <c r="E56" s="23" t="s">
        <v>212</v>
      </c>
      <c r="F56" s="22" t="s">
        <v>250</v>
      </c>
      <c r="G56" s="24">
        <v>1</v>
      </c>
      <c r="H56" s="24">
        <v>1</v>
      </c>
      <c r="I56" s="24">
        <v>1</v>
      </c>
      <c r="J56" s="24">
        <v>0.5</v>
      </c>
      <c r="K56" s="24">
        <v>0</v>
      </c>
      <c r="L56" s="25">
        <f t="shared" si="2"/>
        <v>0.7</v>
      </c>
      <c r="M56" s="8" t="str">
        <f t="shared" si="3"/>
        <v>개발 완료</v>
      </c>
      <c r="N56" s="26" t="s">
        <v>492</v>
      </c>
      <c r="O56" s="27"/>
      <c r="P56" s="27"/>
      <c r="Q56" s="27"/>
      <c r="R56" s="27"/>
      <c r="S56" s="27"/>
      <c r="T56" s="27"/>
      <c r="U56" s="28"/>
      <c r="V56" s="28"/>
    </row>
    <row r="57" spans="1:22" ht="46.8" x14ac:dyDescent="0.4">
      <c r="A57" s="22" t="s">
        <v>493</v>
      </c>
      <c r="B57" s="23" t="s">
        <v>485</v>
      </c>
      <c r="C57" s="23" t="s">
        <v>494</v>
      </c>
      <c r="D57" s="23" t="s">
        <v>495</v>
      </c>
      <c r="E57" s="23" t="s">
        <v>212</v>
      </c>
      <c r="F57" s="22" t="s">
        <v>250</v>
      </c>
      <c r="G57" s="24">
        <v>1</v>
      </c>
      <c r="H57" s="24">
        <v>1</v>
      </c>
      <c r="I57" s="24">
        <v>1</v>
      </c>
      <c r="J57" s="24">
        <v>0.5</v>
      </c>
      <c r="K57" s="24">
        <v>0</v>
      </c>
      <c r="L57" s="25">
        <f t="shared" si="2"/>
        <v>0.7</v>
      </c>
      <c r="M57" s="8" t="str">
        <f t="shared" si="3"/>
        <v>개발 완료</v>
      </c>
      <c r="N57" s="26" t="s">
        <v>488</v>
      </c>
      <c r="O57" s="27"/>
      <c r="P57" s="27"/>
      <c r="Q57" s="27"/>
      <c r="R57" s="27"/>
      <c r="S57" s="27"/>
      <c r="T57" s="27"/>
      <c r="U57" s="28"/>
      <c r="V57" s="28"/>
    </row>
    <row r="58" spans="1:22" ht="62.4" x14ac:dyDescent="0.4">
      <c r="A58" s="22" t="s">
        <v>496</v>
      </c>
      <c r="B58" s="23" t="s">
        <v>485</v>
      </c>
      <c r="C58" s="23" t="s">
        <v>497</v>
      </c>
      <c r="D58" s="23" t="s">
        <v>498</v>
      </c>
      <c r="E58" s="23" t="s">
        <v>212</v>
      </c>
      <c r="F58" s="22" t="s">
        <v>250</v>
      </c>
      <c r="G58" s="24">
        <v>1</v>
      </c>
      <c r="H58" s="24">
        <v>0</v>
      </c>
      <c r="I58" s="24">
        <v>0.5</v>
      </c>
      <c r="J58" s="24">
        <v>0.5</v>
      </c>
      <c r="K58" s="24">
        <v>0</v>
      </c>
      <c r="L58" s="25">
        <f t="shared" si="2"/>
        <v>0.4</v>
      </c>
      <c r="M58" s="8" t="str">
        <f t="shared" si="3"/>
        <v>개발 완료</v>
      </c>
      <c r="N58" s="26" t="s">
        <v>499</v>
      </c>
      <c r="O58" s="27"/>
      <c r="P58" s="27"/>
      <c r="Q58" s="27"/>
      <c r="R58" s="27"/>
      <c r="S58" s="27"/>
      <c r="T58" s="27"/>
      <c r="U58" s="28"/>
      <c r="V58" s="28"/>
    </row>
    <row r="59" spans="1:22" ht="46.8" x14ac:dyDescent="0.4">
      <c r="A59" s="22" t="s">
        <v>500</v>
      </c>
      <c r="B59" s="23" t="s">
        <v>501</v>
      </c>
      <c r="C59" s="23" t="s">
        <v>502</v>
      </c>
      <c r="D59" s="23" t="s">
        <v>503</v>
      </c>
      <c r="E59" s="23" t="s">
        <v>212</v>
      </c>
      <c r="F59" s="22" t="s">
        <v>250</v>
      </c>
      <c r="G59" s="24">
        <v>1</v>
      </c>
      <c r="H59" s="24">
        <v>0</v>
      </c>
      <c r="I59" s="24">
        <v>0</v>
      </c>
      <c r="J59" s="24">
        <v>0</v>
      </c>
      <c r="K59" s="24">
        <v>0</v>
      </c>
      <c r="L59" s="25">
        <f t="shared" si="2"/>
        <v>0.2</v>
      </c>
      <c r="M59" s="8" t="str">
        <f t="shared" si="3"/>
        <v>개발 완료</v>
      </c>
      <c r="N59" s="26" t="s">
        <v>504</v>
      </c>
      <c r="O59" s="27"/>
      <c r="P59" s="27"/>
      <c r="Q59" s="27"/>
      <c r="R59" s="27"/>
      <c r="S59" s="27"/>
      <c r="T59" s="27"/>
      <c r="U59" s="28"/>
      <c r="V59" s="28"/>
    </row>
    <row r="60" spans="1:22" ht="46.8" x14ac:dyDescent="0.4">
      <c r="A60" s="22" t="s">
        <v>505</v>
      </c>
      <c r="B60" s="23" t="s">
        <v>501</v>
      </c>
      <c r="C60" s="23" t="s">
        <v>506</v>
      </c>
      <c r="D60" s="23" t="s">
        <v>507</v>
      </c>
      <c r="E60" s="23" t="s">
        <v>212</v>
      </c>
      <c r="F60" s="22" t="s">
        <v>250</v>
      </c>
      <c r="G60" s="24">
        <v>1</v>
      </c>
      <c r="H60" s="24">
        <v>1</v>
      </c>
      <c r="I60" s="24">
        <v>0</v>
      </c>
      <c r="J60" s="24">
        <v>0</v>
      </c>
      <c r="K60" s="24">
        <v>0</v>
      </c>
      <c r="L60" s="25">
        <f t="shared" si="2"/>
        <v>0.4</v>
      </c>
      <c r="M60" s="8" t="str">
        <f t="shared" si="3"/>
        <v>개발 완료</v>
      </c>
      <c r="N60" s="26" t="s">
        <v>508</v>
      </c>
      <c r="O60" s="27"/>
      <c r="P60" s="27"/>
      <c r="Q60" s="27"/>
      <c r="R60" s="27"/>
      <c r="S60" s="27"/>
      <c r="T60" s="27"/>
      <c r="U60" s="28"/>
      <c r="V60" s="28"/>
    </row>
    <row r="61" spans="1:22" ht="62.4" x14ac:dyDescent="0.4">
      <c r="A61" s="22" t="s">
        <v>509</v>
      </c>
      <c r="B61" s="23" t="s">
        <v>501</v>
      </c>
      <c r="C61" s="23" t="s">
        <v>510</v>
      </c>
      <c r="D61" s="23" t="s">
        <v>511</v>
      </c>
      <c r="E61" s="23" t="s">
        <v>212</v>
      </c>
      <c r="F61" s="22" t="s">
        <v>250</v>
      </c>
      <c r="G61" s="24">
        <v>1</v>
      </c>
      <c r="H61" s="24">
        <v>1</v>
      </c>
      <c r="I61" s="24">
        <v>0</v>
      </c>
      <c r="J61" s="24">
        <v>0</v>
      </c>
      <c r="K61" s="24">
        <v>0</v>
      </c>
      <c r="L61" s="25">
        <f t="shared" si="2"/>
        <v>0.4</v>
      </c>
      <c r="M61" s="8" t="str">
        <f t="shared" si="3"/>
        <v>개발 완료</v>
      </c>
      <c r="N61" s="26" t="s">
        <v>512</v>
      </c>
      <c r="O61" s="27"/>
      <c r="P61" s="27"/>
      <c r="Q61" s="27"/>
      <c r="R61" s="27"/>
      <c r="S61" s="27"/>
      <c r="T61" s="27"/>
      <c r="U61" s="28"/>
      <c r="V61" s="28"/>
    </row>
    <row r="62" spans="1:22" ht="62.4" x14ac:dyDescent="0.4">
      <c r="A62" s="22" t="s">
        <v>513</v>
      </c>
      <c r="B62" s="23" t="s">
        <v>501</v>
      </c>
      <c r="C62" s="23" t="s">
        <v>514</v>
      </c>
      <c r="D62" s="23" t="s">
        <v>515</v>
      </c>
      <c r="E62" s="23" t="s">
        <v>212</v>
      </c>
      <c r="F62" s="22" t="s">
        <v>250</v>
      </c>
      <c r="G62" s="24">
        <v>1</v>
      </c>
      <c r="H62" s="24">
        <v>1</v>
      </c>
      <c r="I62" s="24">
        <v>0</v>
      </c>
      <c r="J62" s="24">
        <v>0</v>
      </c>
      <c r="K62" s="24">
        <v>0</v>
      </c>
      <c r="L62" s="25">
        <f t="shared" si="2"/>
        <v>0.4</v>
      </c>
      <c r="M62" s="8" t="str">
        <f t="shared" si="3"/>
        <v>개발 완료</v>
      </c>
      <c r="N62" s="26" t="s">
        <v>512</v>
      </c>
      <c r="O62" s="27"/>
      <c r="P62" s="27"/>
      <c r="Q62" s="27"/>
      <c r="R62" s="27"/>
      <c r="S62" s="27"/>
      <c r="T62" s="27"/>
      <c r="U62" s="28"/>
      <c r="V62" s="28"/>
    </row>
  </sheetData>
  <autoFilter ref="A8:N62" xr:uid="{00000000-0009-0000-0000-000001000000}"/>
  <mergeCells count="12">
    <mergeCell ref="A1:Z1"/>
    <mergeCell ref="D4:E4"/>
    <mergeCell ref="A2:Z2"/>
    <mergeCell ref="M3:N3"/>
    <mergeCell ref="D3:E3"/>
    <mergeCell ref="A3:B3"/>
    <mergeCell ref="G3:H3"/>
    <mergeCell ref="A4:B4"/>
    <mergeCell ref="G4:H4"/>
    <mergeCell ref="O7:V7"/>
    <mergeCell ref="J3:K3"/>
    <mergeCell ref="J4:K4"/>
  </mergeCells>
  <phoneticPr fontId="14" type="noConversion"/>
  <conditionalFormatting sqref="M9:M62">
    <cfRule type="cellIs" dxfId="6" priority="1" operator="equal">
      <formula>"개발 완료"</formula>
    </cfRule>
    <cfRule type="cellIs" dxfId="5" priority="2" operator="equal">
      <formula>"일부 개발"</formula>
    </cfRule>
    <cfRule type="cellIs" dxfId="4" priority="3" operator="equal">
      <formula>"개발 예정"</formula>
    </cfRule>
    <cfRule type="cellIs" dxfId="3" priority="4" operator="equal">
      <formula>"검수 완료"</formula>
    </cfRule>
  </conditionalFormatting>
  <dataValidations count="1">
    <dataValidation type="list" sqref="G9:K62" xr:uid="{00000000-0002-0000-0100-000000000000}">
      <formula1>"0,0.5,1"</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0"/>
  <sheetViews>
    <sheetView showGridLines="0" tabSelected="1" workbookViewId="0">
      <pane xSplit="2" ySplit="5" topLeftCell="C6" activePane="bottomRight" state="frozen"/>
      <selection pane="topRight"/>
      <selection pane="bottomLeft"/>
      <selection pane="bottomRight" sqref="A1:G1"/>
    </sheetView>
  </sheetViews>
  <sheetFormatPr defaultRowHeight="17.399999999999999" x14ac:dyDescent="0.4"/>
  <cols>
    <col min="1" max="1" width="9" customWidth="1"/>
    <col min="2" max="2" width="34" customWidth="1"/>
    <col min="3" max="3" width="18" customWidth="1"/>
    <col min="4" max="5" width="11" customWidth="1"/>
    <col min="6" max="6" width="14" customWidth="1"/>
    <col min="7" max="7" width="34" customWidth="1"/>
    <col min="9" max="9" width="12" customWidth="1"/>
  </cols>
  <sheetData>
    <row r="1" spans="1:11" ht="24" x14ac:dyDescent="0.55000000000000004">
      <c r="A1" s="37" t="s">
        <v>516</v>
      </c>
      <c r="B1" s="35"/>
      <c r="C1" s="35"/>
      <c r="D1" s="35"/>
      <c r="E1" s="35"/>
      <c r="F1" s="35"/>
      <c r="G1" s="35"/>
    </row>
    <row r="2" spans="1:11" x14ac:dyDescent="0.4">
      <c r="A2" s="36" t="s">
        <v>517</v>
      </c>
      <c r="B2" s="35"/>
      <c r="C2" s="35"/>
      <c r="D2" s="35"/>
      <c r="E2" s="35"/>
      <c r="F2" s="35"/>
      <c r="G2" s="35"/>
    </row>
    <row r="5" spans="1:11" x14ac:dyDescent="0.4">
      <c r="A5" s="7" t="s">
        <v>518</v>
      </c>
      <c r="B5" s="7" t="s">
        <v>519</v>
      </c>
      <c r="C5" s="7" t="s">
        <v>520</v>
      </c>
      <c r="D5" s="7" t="s">
        <v>521</v>
      </c>
      <c r="E5" s="7" t="s">
        <v>522</v>
      </c>
      <c r="F5" s="7" t="s">
        <v>523</v>
      </c>
      <c r="G5" s="7" t="s">
        <v>524</v>
      </c>
      <c r="I5" s="7" t="s">
        <v>271</v>
      </c>
      <c r="J5" s="7" t="s">
        <v>521</v>
      </c>
      <c r="K5" s="7" t="s">
        <v>522</v>
      </c>
    </row>
    <row r="6" spans="1:11" x14ac:dyDescent="0.4">
      <c r="A6" s="8" t="s">
        <v>91</v>
      </c>
      <c r="B6" s="9" t="s">
        <v>525</v>
      </c>
      <c r="C6" s="8" t="s">
        <v>526</v>
      </c>
      <c r="D6" s="8" t="s">
        <v>527</v>
      </c>
      <c r="E6" s="8" t="s">
        <v>527</v>
      </c>
      <c r="F6" s="8"/>
      <c r="G6" s="9" t="s">
        <v>528</v>
      </c>
      <c r="I6" s="32" t="s">
        <v>265</v>
      </c>
      <c r="J6" s="8">
        <f>COUNTIF($D$6:$D$40,I6)</f>
        <v>14</v>
      </c>
      <c r="K6" s="8">
        <f>COUNTIF($E$6:$E$40,I6)</f>
        <v>28</v>
      </c>
    </row>
    <row r="7" spans="1:11" x14ac:dyDescent="0.4">
      <c r="A7" s="8" t="s">
        <v>99</v>
      </c>
      <c r="B7" s="9" t="s">
        <v>529</v>
      </c>
      <c r="C7" s="8" t="s">
        <v>530</v>
      </c>
      <c r="D7" s="8" t="s">
        <v>527</v>
      </c>
      <c r="E7" s="8" t="s">
        <v>265</v>
      </c>
      <c r="F7" s="8" t="s">
        <v>330</v>
      </c>
      <c r="G7" s="9"/>
      <c r="I7" s="32" t="s">
        <v>527</v>
      </c>
      <c r="J7" s="8">
        <f>COUNTIF($D$6:$D$40,I7)</f>
        <v>20</v>
      </c>
      <c r="K7" s="8">
        <f>COUNTIF($E$6:$E$40,I7)</f>
        <v>7</v>
      </c>
    </row>
    <row r="8" spans="1:11" x14ac:dyDescent="0.4">
      <c r="A8" s="8" t="s">
        <v>531</v>
      </c>
      <c r="B8" s="9" t="s">
        <v>133</v>
      </c>
      <c r="C8" s="8" t="s">
        <v>530</v>
      </c>
      <c r="D8" s="8" t="s">
        <v>527</v>
      </c>
      <c r="E8" s="8" t="s">
        <v>265</v>
      </c>
      <c r="F8" s="8" t="s">
        <v>353</v>
      </c>
      <c r="G8" s="9"/>
      <c r="I8" s="32" t="s">
        <v>532</v>
      </c>
      <c r="J8" s="8">
        <f>COUNTIF($D$6:$D$40,I8)</f>
        <v>1</v>
      </c>
      <c r="K8" s="8">
        <f>COUNTIF($E$6:$E$40,I8)</f>
        <v>0</v>
      </c>
    </row>
    <row r="9" spans="1:11" x14ac:dyDescent="0.4">
      <c r="A9" s="8" t="s">
        <v>533</v>
      </c>
      <c r="B9" s="9" t="s">
        <v>534</v>
      </c>
      <c r="C9" s="8" t="s">
        <v>530</v>
      </c>
      <c r="D9" s="8" t="s">
        <v>265</v>
      </c>
      <c r="E9" s="8" t="s">
        <v>265</v>
      </c>
      <c r="F9" s="8"/>
      <c r="G9" s="9"/>
      <c r="I9" s="32" t="s">
        <v>535</v>
      </c>
      <c r="J9" s="33">
        <f>(J6+J7*0.5)/COUNTA($A$6:$A$40)</f>
        <v>0.68571428571428572</v>
      </c>
      <c r="K9" s="33">
        <f>(K6+K7*0.5)/COUNTA($A$6:$A$40)</f>
        <v>0.9</v>
      </c>
    </row>
    <row r="10" spans="1:11" x14ac:dyDescent="0.4">
      <c r="A10" s="8" t="s">
        <v>231</v>
      </c>
      <c r="B10" s="9" t="s">
        <v>536</v>
      </c>
      <c r="C10" s="8" t="s">
        <v>526</v>
      </c>
      <c r="D10" s="8" t="s">
        <v>527</v>
      </c>
      <c r="E10" s="8" t="s">
        <v>527</v>
      </c>
      <c r="F10" s="8"/>
      <c r="G10" s="9" t="s">
        <v>537</v>
      </c>
      <c r="I10" s="1" t="s">
        <v>538</v>
      </c>
    </row>
    <row r="11" spans="1:11" x14ac:dyDescent="0.4">
      <c r="A11" s="8" t="s">
        <v>60</v>
      </c>
      <c r="B11" s="9" t="s">
        <v>539</v>
      </c>
      <c r="C11" s="8" t="s">
        <v>526</v>
      </c>
      <c r="D11" s="8" t="s">
        <v>527</v>
      </c>
      <c r="E11" s="8" t="s">
        <v>265</v>
      </c>
      <c r="F11" s="8" t="s">
        <v>363</v>
      </c>
      <c r="G11" s="9"/>
    </row>
    <row r="12" spans="1:11" x14ac:dyDescent="0.4">
      <c r="A12" s="8" t="s">
        <v>131</v>
      </c>
      <c r="B12" s="9" t="s">
        <v>540</v>
      </c>
      <c r="C12" s="8" t="s">
        <v>526</v>
      </c>
      <c r="D12" s="8" t="s">
        <v>265</v>
      </c>
      <c r="E12" s="8" t="s">
        <v>265</v>
      </c>
      <c r="F12" s="8"/>
      <c r="G12" s="9"/>
    </row>
    <row r="13" spans="1:11" x14ac:dyDescent="0.4">
      <c r="A13" s="8" t="s">
        <v>139</v>
      </c>
      <c r="B13" s="9" t="s">
        <v>541</v>
      </c>
      <c r="C13" s="8" t="s">
        <v>530</v>
      </c>
      <c r="D13" s="8" t="s">
        <v>527</v>
      </c>
      <c r="E13" s="8" t="s">
        <v>265</v>
      </c>
      <c r="F13" s="8" t="s">
        <v>481</v>
      </c>
      <c r="G13" s="9"/>
    </row>
    <row r="14" spans="1:11" x14ac:dyDescent="0.4">
      <c r="A14" s="8" t="s">
        <v>127</v>
      </c>
      <c r="B14" s="9" t="s">
        <v>542</v>
      </c>
      <c r="C14" s="8" t="s">
        <v>526</v>
      </c>
      <c r="D14" s="8" t="s">
        <v>265</v>
      </c>
      <c r="E14" s="8" t="s">
        <v>265</v>
      </c>
      <c r="F14" s="8"/>
      <c r="G14" s="9"/>
    </row>
    <row r="15" spans="1:11" x14ac:dyDescent="0.4">
      <c r="A15" s="8" t="s">
        <v>18</v>
      </c>
      <c r="B15" s="9" t="s">
        <v>543</v>
      </c>
      <c r="C15" s="8" t="s">
        <v>530</v>
      </c>
      <c r="D15" s="8" t="s">
        <v>527</v>
      </c>
      <c r="E15" s="8" t="s">
        <v>527</v>
      </c>
      <c r="F15" s="8"/>
      <c r="G15" s="9" t="s">
        <v>544</v>
      </c>
    </row>
    <row r="16" spans="1:11" x14ac:dyDescent="0.4">
      <c r="A16" s="8" t="s">
        <v>216</v>
      </c>
      <c r="B16" s="9" t="s">
        <v>545</v>
      </c>
      <c r="C16" s="8" t="s">
        <v>530</v>
      </c>
      <c r="D16" s="8" t="s">
        <v>527</v>
      </c>
      <c r="E16" s="8" t="s">
        <v>527</v>
      </c>
      <c r="F16" s="8"/>
      <c r="G16" s="9" t="s">
        <v>546</v>
      </c>
    </row>
    <row r="17" spans="1:7" x14ac:dyDescent="0.4">
      <c r="A17" s="8" t="s">
        <v>547</v>
      </c>
      <c r="B17" s="9" t="s">
        <v>548</v>
      </c>
      <c r="C17" s="8" t="s">
        <v>530</v>
      </c>
      <c r="D17" s="8" t="s">
        <v>265</v>
      </c>
      <c r="E17" s="8" t="s">
        <v>265</v>
      </c>
      <c r="F17" s="8"/>
      <c r="G17" s="9"/>
    </row>
    <row r="18" spans="1:7" x14ac:dyDescent="0.4">
      <c r="A18" s="8" t="s">
        <v>385</v>
      </c>
      <c r="B18" s="9" t="s">
        <v>549</v>
      </c>
      <c r="C18" s="8" t="s">
        <v>530</v>
      </c>
      <c r="D18" s="8" t="s">
        <v>265</v>
      </c>
      <c r="E18" s="8" t="s">
        <v>265</v>
      </c>
      <c r="F18" s="8"/>
      <c r="G18" s="9"/>
    </row>
    <row r="19" spans="1:7" x14ac:dyDescent="0.4">
      <c r="A19" s="8" t="s">
        <v>550</v>
      </c>
      <c r="B19" s="9" t="s">
        <v>551</v>
      </c>
      <c r="C19" s="8" t="s">
        <v>530</v>
      </c>
      <c r="D19" s="8" t="s">
        <v>265</v>
      </c>
      <c r="E19" s="8" t="s">
        <v>265</v>
      </c>
      <c r="F19" s="8"/>
      <c r="G19" s="9"/>
    </row>
    <row r="20" spans="1:7" x14ac:dyDescent="0.4">
      <c r="A20" s="8" t="s">
        <v>552</v>
      </c>
      <c r="B20" s="9" t="s">
        <v>553</v>
      </c>
      <c r="C20" s="8" t="s">
        <v>526</v>
      </c>
      <c r="D20" s="8" t="s">
        <v>265</v>
      </c>
      <c r="E20" s="8" t="s">
        <v>265</v>
      </c>
      <c r="F20" s="8"/>
      <c r="G20" s="9"/>
    </row>
    <row r="21" spans="1:7" x14ac:dyDescent="0.4">
      <c r="A21" s="8" t="s">
        <v>220</v>
      </c>
      <c r="B21" s="9" t="s">
        <v>554</v>
      </c>
      <c r="C21" s="8" t="s">
        <v>530</v>
      </c>
      <c r="D21" s="8" t="s">
        <v>527</v>
      </c>
      <c r="E21" s="8" t="s">
        <v>527</v>
      </c>
      <c r="F21" s="8"/>
      <c r="G21" s="9" t="s">
        <v>555</v>
      </c>
    </row>
    <row r="22" spans="1:7" x14ac:dyDescent="0.4">
      <c r="A22" s="8" t="s">
        <v>144</v>
      </c>
      <c r="B22" s="9" t="s">
        <v>556</v>
      </c>
      <c r="C22" s="8" t="s">
        <v>530</v>
      </c>
      <c r="D22" s="8" t="s">
        <v>527</v>
      </c>
      <c r="E22" s="8" t="s">
        <v>265</v>
      </c>
      <c r="F22" s="8" t="s">
        <v>387</v>
      </c>
      <c r="G22" s="9"/>
    </row>
    <row r="23" spans="1:7" x14ac:dyDescent="0.4">
      <c r="A23" s="8" t="s">
        <v>121</v>
      </c>
      <c r="B23" s="9" t="s">
        <v>557</v>
      </c>
      <c r="C23" s="8" t="s">
        <v>526</v>
      </c>
      <c r="D23" s="8" t="s">
        <v>265</v>
      </c>
      <c r="E23" s="8" t="s">
        <v>265</v>
      </c>
      <c r="F23" s="8"/>
      <c r="G23" s="9"/>
    </row>
    <row r="24" spans="1:7" x14ac:dyDescent="0.4">
      <c r="A24" s="8" t="s">
        <v>558</v>
      </c>
      <c r="B24" s="9" t="s">
        <v>559</v>
      </c>
      <c r="C24" s="8" t="s">
        <v>526</v>
      </c>
      <c r="D24" s="8" t="s">
        <v>265</v>
      </c>
      <c r="E24" s="8" t="s">
        <v>265</v>
      </c>
      <c r="F24" s="8"/>
      <c r="G24" s="9"/>
    </row>
    <row r="25" spans="1:7" x14ac:dyDescent="0.4">
      <c r="A25" s="8" t="s">
        <v>560</v>
      </c>
      <c r="B25" s="9" t="s">
        <v>561</v>
      </c>
      <c r="C25" s="8" t="s">
        <v>530</v>
      </c>
      <c r="D25" s="8" t="s">
        <v>265</v>
      </c>
      <c r="E25" s="8" t="s">
        <v>265</v>
      </c>
      <c r="F25" s="8"/>
      <c r="G25" s="9"/>
    </row>
    <row r="26" spans="1:7" x14ac:dyDescent="0.4">
      <c r="A26" s="8" t="s">
        <v>375</v>
      </c>
      <c r="B26" s="9" t="s">
        <v>562</v>
      </c>
      <c r="C26" s="8" t="s">
        <v>526</v>
      </c>
      <c r="D26" s="8" t="s">
        <v>265</v>
      </c>
      <c r="E26" s="8" t="s">
        <v>265</v>
      </c>
      <c r="F26" s="8"/>
      <c r="G26" s="9"/>
    </row>
    <row r="27" spans="1:7" x14ac:dyDescent="0.4">
      <c r="A27" s="8" t="s">
        <v>148</v>
      </c>
      <c r="B27" s="9" t="s">
        <v>563</v>
      </c>
      <c r="C27" s="8" t="s">
        <v>530</v>
      </c>
      <c r="D27" s="8" t="s">
        <v>527</v>
      </c>
      <c r="E27" s="8" t="s">
        <v>265</v>
      </c>
      <c r="F27" s="8" t="s">
        <v>390</v>
      </c>
      <c r="G27" s="9"/>
    </row>
    <row r="28" spans="1:7" x14ac:dyDescent="0.4">
      <c r="A28" s="8" t="s">
        <v>152</v>
      </c>
      <c r="B28" s="9" t="s">
        <v>564</v>
      </c>
      <c r="C28" s="8" t="s">
        <v>526</v>
      </c>
      <c r="D28" s="8" t="s">
        <v>527</v>
      </c>
      <c r="E28" s="8" t="s">
        <v>265</v>
      </c>
      <c r="F28" s="8" t="s">
        <v>393</v>
      </c>
      <c r="G28" s="9"/>
    </row>
    <row r="29" spans="1:7" x14ac:dyDescent="0.4">
      <c r="A29" s="8" t="s">
        <v>156</v>
      </c>
      <c r="B29" s="9" t="s">
        <v>565</v>
      </c>
      <c r="C29" s="8" t="s">
        <v>530</v>
      </c>
      <c r="D29" s="8" t="s">
        <v>527</v>
      </c>
      <c r="E29" s="8" t="s">
        <v>265</v>
      </c>
      <c r="F29" s="8" t="s">
        <v>357</v>
      </c>
      <c r="G29" s="9"/>
    </row>
    <row r="30" spans="1:7" x14ac:dyDescent="0.4">
      <c r="A30" s="8" t="s">
        <v>159</v>
      </c>
      <c r="B30" s="9" t="s">
        <v>566</v>
      </c>
      <c r="C30" s="8" t="s">
        <v>526</v>
      </c>
      <c r="D30" s="8" t="s">
        <v>527</v>
      </c>
      <c r="E30" s="8" t="s">
        <v>265</v>
      </c>
      <c r="F30" s="8" t="s">
        <v>360</v>
      </c>
      <c r="G30" s="9"/>
    </row>
    <row r="31" spans="1:7" x14ac:dyDescent="0.4">
      <c r="A31" s="8" t="s">
        <v>567</v>
      </c>
      <c r="B31" s="9" t="s">
        <v>568</v>
      </c>
      <c r="C31" s="8" t="s">
        <v>526</v>
      </c>
      <c r="D31" s="8" t="s">
        <v>265</v>
      </c>
      <c r="E31" s="8" t="s">
        <v>265</v>
      </c>
      <c r="F31" s="8"/>
      <c r="G31" s="9"/>
    </row>
    <row r="32" spans="1:7" x14ac:dyDescent="0.4">
      <c r="A32" s="8" t="s">
        <v>171</v>
      </c>
      <c r="B32" s="9" t="s">
        <v>569</v>
      </c>
      <c r="C32" s="8" t="s">
        <v>526</v>
      </c>
      <c r="D32" s="8" t="s">
        <v>265</v>
      </c>
      <c r="E32" s="8" t="s">
        <v>265</v>
      </c>
      <c r="F32" s="8"/>
      <c r="G32" s="9"/>
    </row>
    <row r="33" spans="1:7" x14ac:dyDescent="0.4">
      <c r="A33" s="8" t="s">
        <v>69</v>
      </c>
      <c r="B33" s="9" t="s">
        <v>570</v>
      </c>
      <c r="C33" s="8" t="s">
        <v>526</v>
      </c>
      <c r="D33" s="8" t="s">
        <v>527</v>
      </c>
      <c r="E33" s="8" t="s">
        <v>265</v>
      </c>
      <c r="F33" s="8" t="s">
        <v>305</v>
      </c>
      <c r="G33" s="9"/>
    </row>
    <row r="34" spans="1:7" x14ac:dyDescent="0.4">
      <c r="A34" s="8" t="s">
        <v>571</v>
      </c>
      <c r="B34" s="9" t="s">
        <v>572</v>
      </c>
      <c r="C34" s="8" t="s">
        <v>530</v>
      </c>
      <c r="D34" s="8" t="s">
        <v>527</v>
      </c>
      <c r="E34" s="8" t="s">
        <v>265</v>
      </c>
      <c r="F34" s="8" t="s">
        <v>353</v>
      </c>
      <c r="G34" s="9"/>
    </row>
    <row r="35" spans="1:7" x14ac:dyDescent="0.4">
      <c r="A35" s="8" t="s">
        <v>573</v>
      </c>
      <c r="B35" s="9" t="s">
        <v>574</v>
      </c>
      <c r="C35" s="8" t="s">
        <v>526</v>
      </c>
      <c r="D35" s="8" t="s">
        <v>527</v>
      </c>
      <c r="E35" s="8" t="s">
        <v>527</v>
      </c>
      <c r="F35" s="8"/>
      <c r="G35" s="9" t="s">
        <v>575</v>
      </c>
    </row>
    <row r="36" spans="1:7" x14ac:dyDescent="0.4">
      <c r="A36" s="8" t="s">
        <v>184</v>
      </c>
      <c r="B36" s="9" t="s">
        <v>576</v>
      </c>
      <c r="C36" s="8" t="s">
        <v>526</v>
      </c>
      <c r="D36" s="8" t="s">
        <v>527</v>
      </c>
      <c r="E36" s="8" t="s">
        <v>265</v>
      </c>
      <c r="F36" s="8" t="s">
        <v>433</v>
      </c>
      <c r="G36" s="9"/>
    </row>
    <row r="37" spans="1:7" x14ac:dyDescent="0.4">
      <c r="A37" s="8" t="s">
        <v>187</v>
      </c>
      <c r="B37" s="9" t="s">
        <v>577</v>
      </c>
      <c r="C37" s="8" t="s">
        <v>526</v>
      </c>
      <c r="D37" s="8" t="s">
        <v>527</v>
      </c>
      <c r="E37" s="8" t="s">
        <v>265</v>
      </c>
      <c r="F37" s="8" t="s">
        <v>457</v>
      </c>
      <c r="G37" s="9"/>
    </row>
    <row r="38" spans="1:7" x14ac:dyDescent="0.4">
      <c r="A38" s="8" t="s">
        <v>191</v>
      </c>
      <c r="B38" s="9" t="s">
        <v>578</v>
      </c>
      <c r="C38" s="8" t="s">
        <v>526</v>
      </c>
      <c r="D38" s="8" t="s">
        <v>265</v>
      </c>
      <c r="E38" s="8" t="s">
        <v>265</v>
      </c>
      <c r="F38" s="8"/>
      <c r="G38" s="9"/>
    </row>
    <row r="39" spans="1:7" x14ac:dyDescent="0.4">
      <c r="A39" s="8" t="s">
        <v>579</v>
      </c>
      <c r="B39" s="9" t="s">
        <v>580</v>
      </c>
      <c r="C39" s="8" t="s">
        <v>526</v>
      </c>
      <c r="D39" s="8" t="s">
        <v>527</v>
      </c>
      <c r="E39" s="8" t="s">
        <v>527</v>
      </c>
      <c r="F39" s="8"/>
      <c r="G39" s="9" t="s">
        <v>581</v>
      </c>
    </row>
    <row r="40" spans="1:7" x14ac:dyDescent="0.4">
      <c r="A40" s="8" t="s">
        <v>208</v>
      </c>
      <c r="B40" s="9" t="s">
        <v>582</v>
      </c>
      <c r="C40" s="8" t="s">
        <v>526</v>
      </c>
      <c r="D40" s="8" t="s">
        <v>532</v>
      </c>
      <c r="E40" s="8" t="s">
        <v>265</v>
      </c>
      <c r="F40" s="8" t="s">
        <v>460</v>
      </c>
      <c r="G40" s="9"/>
    </row>
  </sheetData>
  <mergeCells count="2">
    <mergeCell ref="A2:G2"/>
    <mergeCell ref="A1:G1"/>
  </mergeCells>
  <phoneticPr fontId="14" type="noConversion"/>
  <conditionalFormatting sqref="D6:E40">
    <cfRule type="cellIs" dxfId="2" priority="1" operator="equal">
      <formula>"구현"</formula>
    </cfRule>
    <cfRule type="cellIs" dxfId="1" priority="2" operator="equal">
      <formula>"일부 구현"</formula>
    </cfRule>
    <cfRule type="cellIs" dxfId="0" priority="3" operator="equal">
      <formula>"미구현"</formula>
    </cfRule>
  </conditionalFormatting>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기능명세서</vt:lpstr>
      <vt:lpstr>개발 WBS</vt:lpstr>
      <vt:lpstr>정책 대응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소은 박</cp:lastModifiedBy>
  <dcterms:created xsi:type="dcterms:W3CDTF">2026-10-17T05:21:40Z</dcterms:created>
  <dcterms:modified xsi:type="dcterms:W3CDTF">2026-10-17T05:55:00Z</dcterms:modified>
</cp:coreProperties>
</file>